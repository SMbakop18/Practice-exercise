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elle\workspace2\excel\Practice-exercise\"/>
    </mc:Choice>
  </mc:AlternateContent>
  <xr:revisionPtr revIDLastSave="0" documentId="13_ncr:1_{D66FDE74-F938-409E-BB74-07282E487E0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arwars" sheetId="1" r:id="rId1"/>
    <sheet name="data_dictionary" sheetId="2" r:id="rId2"/>
    <sheet name="Answer Key" sheetId="3" r:id="rId3"/>
  </sheets>
  <definedNames>
    <definedName name="_xlnm._FilterDatabase" localSheetId="0" hidden="1">starwars!$A$1:$K$1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6" i="3" l="1"/>
  <c r="B104" i="3"/>
  <c r="B102" i="3"/>
  <c r="B99" i="3" a="1"/>
  <c r="B99" i="3" s="1"/>
  <c r="B100" i="3" s="1"/>
  <c r="B97" i="3"/>
  <c r="B96" i="3"/>
  <c r="B95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2" i="3"/>
  <c r="B93" i="3"/>
  <c r="B92" i="3"/>
  <c r="B91" i="3"/>
  <c r="B89" i="3"/>
  <c r="B87" i="3"/>
  <c r="B84" i="3"/>
  <c r="B4" i="1"/>
  <c r="B5" i="1" s="1"/>
  <c r="B3" i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2" i="3" l="1" a="1"/>
  <c r="B2" i="3" l="1"/>
  <c r="B8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<sst xmlns="http://schemas.openxmlformats.org/spreadsheetml/2006/main" count="744" uniqueCount="287">
  <si>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</si>
  <si>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</si>
  <si>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</si>
  <si>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</si>
  <si>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</si>
  <si>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</si>
  <si>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</si>
  <si>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</si>
  <si>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</si>
  <si>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</si>
  <si>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</si>
  <si>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</si>
  <si>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</si>
  <si>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</si>
  <si>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</si>
  <si>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</si>
  <si>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</si>
  <si>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</si>
  <si>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</si>
  <si>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</si>
  <si>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</si>
  <si>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</si>
  <si>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</si>
  <si>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</si>
  <si>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</si>
  <si>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</si>
  <si>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</si>
  <si>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</si>
  <si>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</si>
  <si>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</si>
  <si>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</si>
  <si>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</si>
  <si>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</si>
  <si>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</si>
  <si>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</si>
  <si>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</si>
  <si>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</si>
  <si>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</si>
  <si>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</si>
  <si>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</si>
  <si>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</si>
  <si>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</si>
  <si>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</si>
  <si>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</si>
  <si>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</si>
  <si>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</si>
  <si>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</si>
  <si>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</si>
  <si>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</si>
  <si>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</si>
  <si>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</si>
  <si>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</si>
  <si>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</si>
  <si>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</si>
  <si>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</si>
  <si>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</si>
  <si>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</si>
  <si>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</si>
  <si>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</si>
  <si>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</si>
  <si>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</si>
  <si>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</si>
  <si>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</si>
  <si>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</si>
  <si>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</si>
  <si>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</si>
  <si>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</si>
  <si>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</si>
  <si>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</si>
  <si>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</si>
  <si>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</si>
  <si>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</si>
  <si>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</si>
  <si>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</si>
  <si>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</si>
  <si>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</si>
  <si>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</si>
  <si>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</si>
  <si>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</si>
  <si>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</si>
  <si>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</si>
  <si>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</si>
  <si>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</si>
  <si>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</si>
  <si>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</si>
  <si>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</si>
  <si>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</si>
  <si>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</si>
  <si>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</si>
  <si>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</si>
  <si>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</si>
  <si>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</si>
  <si>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</si>
  <si>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</si>
  <si>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</si>
  <si>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</si>
  <si>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</si>
  <si>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</si>
  <si>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</si>
  <si>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</si>
  <si>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</si>
  <si>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</si>
  <si>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</si>
  <si>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</si>
  <si>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</si>
  <si>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</si>
  <si>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</si>
  <si>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</si>
  <si>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</si>
  <si>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</si>
  <si>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</si>
  <si>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</si>
  <si>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</si>
  <si>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</si>
  <si>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</si>
  <si>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</si>
  <si>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</si>
  <si>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</si>
  <si>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</si>
  <si>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</si>
  <si>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</si>
  <si>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</si>
  <si>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</si>
  <si>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</si>
  <si>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</si>
  <si>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</si>
  <si>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</si>
  <si>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</si>
  <si>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</si>
  <si>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</si>
  <si>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</si>
  <si>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</si>
  <si>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</si>
  <si>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</si>
  <si>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</si>
  <si>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</si>
  <si>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</si>
  <si>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</si>
  <si>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</si>
  <si>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</si>
  <si>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</si>
  <si>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</si>
  <si>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</si>
  <si>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</si>
  <si>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</si>
  <si>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</si>
  <si>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</si>
  <si>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</si>
  <si>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</si>
  <si>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</si>
  <si>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</si>
  <si>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</si>
  <si>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</si>
  <si>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</si>
  <si>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</si>
  <si>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</si>
  <si>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</si>
  <si>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</si>
  <si>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</si>
  <si>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</si>
  <si>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</si>
  <si>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</si>
  <si>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</si>
  <si>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</si>
  <si>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</si>
  <si>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</si>
  <si>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</si>
  <si>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</si>
  <si>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</si>
  <si>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</si>
  <si>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</si>
  <si>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</si>
  <si>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</si>
  <si>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</si>
  <si>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</si>
  <si>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</si>
  <si>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</si>
  <si>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</si>
  <si>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</si>
  <si>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</si>
  <si>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</si>
  <si>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</si>
  <si>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</si>
  <si>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</si>
  <si>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</si>
  <si>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</si>
  <si>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</si>
  <si>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</si>
  <si>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</si>
  <si>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</si>
  <si>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</si>
  <si>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</si>
  <si>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</si>
  <si>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</si>
  <si>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</si>
  <si>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</si>
  <si>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</si>
  <si>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</si>
  <si>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</si>
  <si>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</si>
  <si>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</si>
  <si>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</si>
  <si>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</si>
  <si>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</si>
  <si>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</si>
  <si>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</si>
  <si>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</si>
  <si>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</si>
  <si>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</si>
  <si>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</si>
  <si>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</si>
  <si>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</si>
  <si>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</si>
  <si>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</si>
  <si>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</si>
  <si>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</si>
  <si>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</si>
  <si>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</si>
  <si>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</si>
  <si>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</si>
  <si>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</si>
  <si>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</si>
  <si>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</si>
  <si>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</si>
  <si>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</si>
  <si>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</si>
  <si>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</si>
  <si>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</si>
  <si>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</si>
  <si>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</si>
  <si>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</si>
  <si>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</si>
  <si>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</si>
  <si>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</si>
  <si>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</si>
  <si>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</si>
  <si>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</si>
  <si>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</si>
  <si>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</si>
  <si>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</si>
  <si>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</si>
  <si>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</si>
  <si>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</si>
  <si>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</si>
  <si>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</si>
  <si>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</si>
  <si>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</si>
  <si>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</si>
  <si>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</si>
  <si>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</si>
  <si>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</si>
  <si>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</si>
  <si>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</si>
  <si>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</si>
  <si>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</si>
  <si>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</si>
  <si>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</si>
  <si>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</si>
  <si>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</si>
  <si>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</si>
  <si>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</si>
  <si>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</si>
  <si>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</si>
  <si>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</si>
  <si>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Ques 2</t>
  </si>
  <si>
    <t>Quest 1</t>
  </si>
  <si>
    <t>height_order</t>
  </si>
  <si>
    <t>Ques 4</t>
  </si>
  <si>
    <t>Ques 3</t>
  </si>
  <si>
    <t>(midpoint)</t>
  </si>
  <si>
    <t>(using vlookup)</t>
  </si>
  <si>
    <t>Ques 5</t>
  </si>
  <si>
    <t>(mode)</t>
  </si>
  <si>
    <t>(median)</t>
  </si>
  <si>
    <t>(average)</t>
  </si>
  <si>
    <t>Ques 6</t>
  </si>
  <si>
    <t>diff_mean</t>
  </si>
  <si>
    <t>diff_mean_sqd</t>
  </si>
  <si>
    <t>(average of diff_mean_sqd)</t>
  </si>
  <si>
    <t>(variance)</t>
  </si>
  <si>
    <t>(standard deviation)</t>
  </si>
  <si>
    <t>Ques 7</t>
  </si>
  <si>
    <t>(90th percentile)</t>
  </si>
  <si>
    <t>(height for percentile)</t>
  </si>
  <si>
    <t>Ques 8</t>
  </si>
  <si>
    <t>Ques 9</t>
  </si>
  <si>
    <t>Ques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</si>
</sst>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workbookViewId="0">
      <selection activeCell="C6" sqref="C6"/>
    </sheetView>
  </sheetViews>
  <sheetFormatPr defaultColWidth="11" defaultRowHeight="15.6" x14ac:dyDescent="0.3"/>
  <cols>
    <col min="1" max="1" width="18.3984375" bestFit="1" customWidth="1"/>
    <col min="2" max="2" width="18.3984375" customWidth="1"/>
    <col min="3" max="3" width="11.09765625" customWidth="1"/>
    <col min="4" max="4" width="9.19921875" customWidth="1"/>
    <col min="10" max="10" width="12.5" bestFit="1" customWidth="1"/>
    <col min="11" max="11" width="125.19921875" bestFit="1" customWidth="1"/>
  </cols>
  <sheetData>
    <row r="1" spans="1:11" x14ac:dyDescent="0.3">
      <c r="A1" t="s">
        <v>0</v>
      </c>
      <c r="B1" t="s">
        <v>266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78</v>
      </c>
      <c r="B2">
        <v>1</v>
      </c>
      <c r="C2">
        <v>66</v>
      </c>
      <c r="D2">
        <v>17</v>
      </c>
      <c r="E2" t="s">
        <v>30</v>
      </c>
      <c r="F2" t="s">
        <v>64</v>
      </c>
      <c r="G2" t="s">
        <v>33</v>
      </c>
      <c r="H2">
        <v>896</v>
      </c>
      <c r="I2" t="s">
        <v>18</v>
      </c>
      <c r="J2" t="s">
        <v>79</v>
      </c>
      <c r="K2" t="s">
        <v>80</v>
      </c>
    </row>
    <row r="3" spans="1:11" x14ac:dyDescent="0.3">
      <c r="A3" t="s">
        <v>216</v>
      </c>
      <c r="B3">
        <f>B2+1</f>
        <v>2</v>
      </c>
      <c r="C3">
        <v>79</v>
      </c>
      <c r="D3">
        <v>15</v>
      </c>
      <c r="E3" t="s">
        <v>29</v>
      </c>
      <c r="F3" t="s">
        <v>217</v>
      </c>
      <c r="G3" t="s">
        <v>57</v>
      </c>
      <c r="H3" t="s">
        <v>18</v>
      </c>
      <c r="I3" t="s">
        <v>218</v>
      </c>
      <c r="J3" t="s">
        <v>219</v>
      </c>
      <c r="K3" t="s">
        <v>117</v>
      </c>
    </row>
    <row r="4" spans="1:11" x14ac:dyDescent="0.3">
      <c r="A4" t="s">
        <v>110</v>
      </c>
      <c r="B4">
        <f t="shared" ref="B4:B67" si="0">B3+1</f>
        <v>3</v>
      </c>
      <c r="C4">
        <v>88</v>
      </c>
      <c r="D4">
        <v>20</v>
      </c>
      <c r="E4" t="s">
        <v>33</v>
      </c>
      <c r="F4" t="s">
        <v>33</v>
      </c>
      <c r="G4" t="s">
        <v>33</v>
      </c>
      <c r="H4">
        <v>8</v>
      </c>
      <c r="I4" t="s">
        <v>111</v>
      </c>
      <c r="J4" t="s">
        <v>112</v>
      </c>
      <c r="K4" t="s">
        <v>108</v>
      </c>
    </row>
    <row r="5" spans="1:11" x14ac:dyDescent="0.3">
      <c r="A5" t="s">
        <v>150</v>
      </c>
      <c r="B5">
        <f t="shared" si="0"/>
        <v>4</v>
      </c>
      <c r="C5">
        <v>94</v>
      </c>
      <c r="D5">
        <v>45</v>
      </c>
      <c r="E5" t="s">
        <v>29</v>
      </c>
      <c r="F5" t="s">
        <v>131</v>
      </c>
      <c r="G5" t="s">
        <v>20</v>
      </c>
      <c r="H5" t="s">
        <v>18</v>
      </c>
      <c r="I5" t="s">
        <v>151</v>
      </c>
      <c r="J5" t="s">
        <v>152</v>
      </c>
      <c r="K5" t="s">
        <v>117</v>
      </c>
    </row>
    <row r="6" spans="1:11" x14ac:dyDescent="0.3">
      <c r="A6" t="s">
        <v>23</v>
      </c>
      <c r="B6">
        <f t="shared" si="0"/>
        <v>5</v>
      </c>
      <c r="C6">
        <v>96</v>
      </c>
      <c r="D6">
        <v>32</v>
      </c>
      <c r="E6" t="s">
        <v>18</v>
      </c>
      <c r="F6" t="s">
        <v>24</v>
      </c>
      <c r="G6" t="s">
        <v>25</v>
      </c>
      <c r="H6">
        <v>33</v>
      </c>
      <c r="I6" t="s">
        <v>26</v>
      </c>
      <c r="J6" t="s">
        <v>21</v>
      </c>
      <c r="K6" t="s">
        <v>27</v>
      </c>
    </row>
    <row r="7" spans="1:11" x14ac:dyDescent="0.3">
      <c r="A7" t="s">
        <v>220</v>
      </c>
      <c r="B7">
        <f t="shared" si="0"/>
        <v>6</v>
      </c>
      <c r="C7">
        <v>96</v>
      </c>
      <c r="D7" t="s">
        <v>18</v>
      </c>
      <c r="E7" t="s">
        <v>29</v>
      </c>
      <c r="F7" t="s">
        <v>221</v>
      </c>
      <c r="G7" t="s">
        <v>222</v>
      </c>
      <c r="H7" t="s">
        <v>18</v>
      </c>
      <c r="I7" t="s">
        <v>18</v>
      </c>
      <c r="J7" t="s">
        <v>18</v>
      </c>
      <c r="K7" t="s">
        <v>192</v>
      </c>
    </row>
    <row r="8" spans="1:11" x14ac:dyDescent="0.3">
      <c r="A8" t="s">
        <v>41</v>
      </c>
      <c r="B8">
        <f t="shared" si="0"/>
        <v>7</v>
      </c>
      <c r="C8">
        <v>97</v>
      </c>
      <c r="D8">
        <v>32</v>
      </c>
      <c r="E8" t="s">
        <v>18</v>
      </c>
      <c r="F8" t="s">
        <v>42</v>
      </c>
      <c r="G8" t="s">
        <v>25</v>
      </c>
      <c r="H8" t="s">
        <v>18</v>
      </c>
      <c r="I8" t="s">
        <v>14</v>
      </c>
      <c r="J8" t="s">
        <v>21</v>
      </c>
      <c r="K8" t="s">
        <v>43</v>
      </c>
    </row>
    <row r="9" spans="1:11" x14ac:dyDescent="0.3">
      <c r="A9" t="s">
        <v>135</v>
      </c>
      <c r="B9">
        <f t="shared" si="0"/>
        <v>8</v>
      </c>
      <c r="C9">
        <v>112</v>
      </c>
      <c r="D9">
        <v>40</v>
      </c>
      <c r="E9" t="s">
        <v>29</v>
      </c>
      <c r="F9" t="s">
        <v>136</v>
      </c>
      <c r="G9" t="s">
        <v>69</v>
      </c>
      <c r="H9" t="s">
        <v>18</v>
      </c>
      <c r="I9" t="s">
        <v>137</v>
      </c>
      <c r="J9" t="s">
        <v>138</v>
      </c>
      <c r="K9" t="s">
        <v>117</v>
      </c>
    </row>
    <row r="10" spans="1:11" x14ac:dyDescent="0.3">
      <c r="A10" t="s">
        <v>153</v>
      </c>
      <c r="B10">
        <f t="shared" si="0"/>
        <v>9</v>
      </c>
      <c r="C10">
        <v>122</v>
      </c>
      <c r="D10" t="s">
        <v>18</v>
      </c>
      <c r="E10" t="s">
        <v>29</v>
      </c>
      <c r="F10" t="s">
        <v>24</v>
      </c>
      <c r="G10" t="s">
        <v>45</v>
      </c>
      <c r="H10" t="s">
        <v>18</v>
      </c>
      <c r="I10" t="s">
        <v>154</v>
      </c>
      <c r="J10" t="s">
        <v>155</v>
      </c>
      <c r="K10" t="s">
        <v>117</v>
      </c>
    </row>
    <row r="11" spans="1:11" x14ac:dyDescent="0.3">
      <c r="A11" t="s">
        <v>130</v>
      </c>
      <c r="B11">
        <f t="shared" si="0"/>
        <v>10</v>
      </c>
      <c r="C11">
        <v>137</v>
      </c>
      <c r="D11" t="s">
        <v>18</v>
      </c>
      <c r="E11" t="s">
        <v>45</v>
      </c>
      <c r="F11" t="s">
        <v>131</v>
      </c>
      <c r="G11" t="s">
        <v>20</v>
      </c>
      <c r="H11" t="s">
        <v>18</v>
      </c>
      <c r="I11" t="s">
        <v>132</v>
      </c>
      <c r="J11" t="s">
        <v>133</v>
      </c>
      <c r="K11" t="s">
        <v>134</v>
      </c>
    </row>
    <row r="12" spans="1:11" x14ac:dyDescent="0.3">
      <c r="A12" t="s">
        <v>32</v>
      </c>
      <c r="B12">
        <f t="shared" si="0"/>
        <v>11</v>
      </c>
      <c r="C12">
        <v>150</v>
      </c>
      <c r="D12">
        <v>49</v>
      </c>
      <c r="E12" t="s">
        <v>33</v>
      </c>
      <c r="F12" t="s">
        <v>34</v>
      </c>
      <c r="G12" t="s">
        <v>33</v>
      </c>
      <c r="H12">
        <v>19</v>
      </c>
      <c r="I12" t="s">
        <v>35</v>
      </c>
      <c r="J12" t="s">
        <v>15</v>
      </c>
      <c r="K12" t="s">
        <v>36</v>
      </c>
    </row>
    <row r="13" spans="1:11" x14ac:dyDescent="0.3">
      <c r="A13" t="s">
        <v>105</v>
      </c>
      <c r="B13">
        <f t="shared" si="0"/>
        <v>12</v>
      </c>
      <c r="C13">
        <v>150</v>
      </c>
      <c r="D13" t="s">
        <v>18</v>
      </c>
      <c r="E13" t="s">
        <v>106</v>
      </c>
      <c r="F13" t="s">
        <v>12</v>
      </c>
      <c r="G13" t="s">
        <v>13</v>
      </c>
      <c r="H13">
        <v>48</v>
      </c>
      <c r="I13" t="s">
        <v>107</v>
      </c>
      <c r="J13" t="s">
        <v>15</v>
      </c>
      <c r="K13" t="s">
        <v>108</v>
      </c>
    </row>
    <row r="14" spans="1:11" x14ac:dyDescent="0.3">
      <c r="A14" t="s">
        <v>187</v>
      </c>
      <c r="B14">
        <f t="shared" si="0"/>
        <v>13</v>
      </c>
      <c r="C14">
        <v>157</v>
      </c>
      <c r="D14" t="s">
        <v>18</v>
      </c>
      <c r="E14" t="s">
        <v>33</v>
      </c>
      <c r="F14" t="s">
        <v>34</v>
      </c>
      <c r="G14" t="s">
        <v>33</v>
      </c>
      <c r="H14" t="s">
        <v>18</v>
      </c>
      <c r="I14" t="s">
        <v>26</v>
      </c>
      <c r="J14" t="s">
        <v>15</v>
      </c>
      <c r="K14" t="s">
        <v>186</v>
      </c>
    </row>
    <row r="15" spans="1:11" x14ac:dyDescent="0.3">
      <c r="A15" t="s">
        <v>113</v>
      </c>
      <c r="B15">
        <f t="shared" si="0"/>
        <v>14</v>
      </c>
      <c r="C15">
        <v>160</v>
      </c>
      <c r="D15">
        <v>68</v>
      </c>
      <c r="E15" t="s">
        <v>29</v>
      </c>
      <c r="F15" t="s">
        <v>82</v>
      </c>
      <c r="G15" t="s">
        <v>45</v>
      </c>
      <c r="H15" t="s">
        <v>18</v>
      </c>
      <c r="I15" t="s">
        <v>114</v>
      </c>
      <c r="J15" t="s">
        <v>115</v>
      </c>
      <c r="K15" t="s">
        <v>108</v>
      </c>
    </row>
    <row r="16" spans="1:11" x14ac:dyDescent="0.3">
      <c r="A16" t="s">
        <v>140</v>
      </c>
      <c r="B16">
        <f t="shared" si="0"/>
        <v>15</v>
      </c>
      <c r="C16">
        <v>163</v>
      </c>
      <c r="D16" t="s">
        <v>18</v>
      </c>
      <c r="E16" t="s">
        <v>45</v>
      </c>
      <c r="F16" t="s">
        <v>12</v>
      </c>
      <c r="G16" t="s">
        <v>33</v>
      </c>
      <c r="H16">
        <v>72</v>
      </c>
      <c r="I16" t="s">
        <v>14</v>
      </c>
      <c r="J16" t="s">
        <v>15</v>
      </c>
      <c r="K16" t="s">
        <v>134</v>
      </c>
    </row>
    <row r="17" spans="1:11" x14ac:dyDescent="0.3">
      <c r="A17" t="s">
        <v>156</v>
      </c>
      <c r="B17">
        <f t="shared" si="0"/>
        <v>16</v>
      </c>
      <c r="C17">
        <v>163</v>
      </c>
      <c r="D17">
        <v>65</v>
      </c>
      <c r="E17" t="s">
        <v>29</v>
      </c>
      <c r="F17" t="s">
        <v>157</v>
      </c>
      <c r="G17" t="s">
        <v>69</v>
      </c>
      <c r="H17" t="s">
        <v>18</v>
      </c>
      <c r="I17" t="s">
        <v>158</v>
      </c>
      <c r="J17" t="s">
        <v>159</v>
      </c>
      <c r="K17" t="s">
        <v>117</v>
      </c>
    </row>
    <row r="18" spans="1:11" x14ac:dyDescent="0.3">
      <c r="A18" t="s">
        <v>40</v>
      </c>
      <c r="B18">
        <f t="shared" si="0"/>
        <v>17</v>
      </c>
      <c r="C18">
        <v>165</v>
      </c>
      <c r="D18">
        <v>75</v>
      </c>
      <c r="E18" t="s">
        <v>33</v>
      </c>
      <c r="F18" t="s">
        <v>34</v>
      </c>
      <c r="G18" t="s">
        <v>13</v>
      </c>
      <c r="H18">
        <v>47</v>
      </c>
      <c r="I18" t="s">
        <v>14</v>
      </c>
      <c r="J18" t="s">
        <v>15</v>
      </c>
      <c r="K18" t="s">
        <v>39</v>
      </c>
    </row>
    <row r="19" spans="1:11" x14ac:dyDescent="0.3">
      <c r="A19" t="s">
        <v>197</v>
      </c>
      <c r="B19">
        <f t="shared" si="0"/>
        <v>18</v>
      </c>
      <c r="C19">
        <v>165</v>
      </c>
      <c r="D19" t="s">
        <v>18</v>
      </c>
      <c r="E19" t="s">
        <v>33</v>
      </c>
      <c r="F19" t="s">
        <v>34</v>
      </c>
      <c r="G19" t="s">
        <v>33</v>
      </c>
      <c r="H19" t="s">
        <v>18</v>
      </c>
      <c r="I19" t="s">
        <v>26</v>
      </c>
      <c r="J19" t="s">
        <v>15</v>
      </c>
      <c r="K19" t="s">
        <v>186</v>
      </c>
    </row>
    <row r="20" spans="1:11" x14ac:dyDescent="0.3">
      <c r="A20" t="s">
        <v>253</v>
      </c>
      <c r="B20">
        <f t="shared" si="0"/>
        <v>19</v>
      </c>
      <c r="C20">
        <v>165</v>
      </c>
      <c r="D20">
        <v>45</v>
      </c>
      <c r="E20" t="s">
        <v>33</v>
      </c>
      <c r="F20" t="s">
        <v>34</v>
      </c>
      <c r="G20" t="s">
        <v>33</v>
      </c>
      <c r="H20">
        <v>46</v>
      </c>
      <c r="I20" t="s">
        <v>26</v>
      </c>
      <c r="J20" t="s">
        <v>15</v>
      </c>
      <c r="K20" t="s">
        <v>51</v>
      </c>
    </row>
    <row r="21" spans="1:11" x14ac:dyDescent="0.3">
      <c r="A21" t="s">
        <v>196</v>
      </c>
      <c r="B21">
        <f t="shared" si="0"/>
        <v>20</v>
      </c>
      <c r="C21">
        <v>166</v>
      </c>
      <c r="D21">
        <v>50</v>
      </c>
      <c r="E21" t="s">
        <v>45</v>
      </c>
      <c r="F21" t="s">
        <v>20</v>
      </c>
      <c r="G21" t="s">
        <v>13</v>
      </c>
      <c r="H21">
        <v>40</v>
      </c>
      <c r="I21" t="s">
        <v>194</v>
      </c>
      <c r="J21" t="s">
        <v>195</v>
      </c>
      <c r="K21" t="s">
        <v>186</v>
      </c>
    </row>
    <row r="22" spans="1:11" x14ac:dyDescent="0.3">
      <c r="A22" t="s">
        <v>17</v>
      </c>
      <c r="B22">
        <f t="shared" si="0"/>
        <v>21</v>
      </c>
      <c r="C22">
        <v>167</v>
      </c>
      <c r="D22">
        <v>75</v>
      </c>
      <c r="E22" t="s">
        <v>18</v>
      </c>
      <c r="F22" t="s">
        <v>19</v>
      </c>
      <c r="G22" t="s">
        <v>20</v>
      </c>
      <c r="H22">
        <v>112</v>
      </c>
      <c r="I22" t="s">
        <v>14</v>
      </c>
      <c r="J22" t="s">
        <v>21</v>
      </c>
      <c r="K22" t="s">
        <v>22</v>
      </c>
    </row>
    <row r="23" spans="1:11" x14ac:dyDescent="0.3">
      <c r="A23" t="s">
        <v>215</v>
      </c>
      <c r="B23">
        <f t="shared" si="0"/>
        <v>22</v>
      </c>
      <c r="C23">
        <v>167</v>
      </c>
      <c r="D23" t="s">
        <v>18</v>
      </c>
      <c r="E23" t="s">
        <v>30</v>
      </c>
      <c r="F23" t="s">
        <v>12</v>
      </c>
      <c r="G23" t="s">
        <v>13</v>
      </c>
      <c r="H23" t="s">
        <v>18</v>
      </c>
      <c r="I23" t="s">
        <v>123</v>
      </c>
      <c r="J23" t="s">
        <v>15</v>
      </c>
      <c r="K23" t="s">
        <v>186</v>
      </c>
    </row>
    <row r="24" spans="1:11" x14ac:dyDescent="0.3">
      <c r="A24" t="s">
        <v>204</v>
      </c>
      <c r="B24">
        <f t="shared" si="0"/>
        <v>23</v>
      </c>
      <c r="C24">
        <v>168</v>
      </c>
      <c r="D24">
        <v>55</v>
      </c>
      <c r="E24" t="s">
        <v>205</v>
      </c>
      <c r="F24" t="s">
        <v>206</v>
      </c>
      <c r="G24" t="s">
        <v>20</v>
      </c>
      <c r="H24" t="s">
        <v>18</v>
      </c>
      <c r="I24" t="s">
        <v>207</v>
      </c>
      <c r="J24" t="s">
        <v>208</v>
      </c>
      <c r="K24" t="s">
        <v>186</v>
      </c>
    </row>
    <row r="25" spans="1:11" x14ac:dyDescent="0.3">
      <c r="A25" t="s">
        <v>73</v>
      </c>
      <c r="B25">
        <f t="shared" si="0"/>
        <v>24</v>
      </c>
      <c r="C25">
        <v>170</v>
      </c>
      <c r="D25">
        <v>77</v>
      </c>
      <c r="E25" t="s">
        <v>33</v>
      </c>
      <c r="F25" t="s">
        <v>12</v>
      </c>
      <c r="G25" t="s">
        <v>74</v>
      </c>
      <c r="H25">
        <v>21</v>
      </c>
      <c r="I25" t="s">
        <v>61</v>
      </c>
      <c r="J25" t="s">
        <v>15</v>
      </c>
      <c r="K25" t="s">
        <v>75</v>
      </c>
    </row>
    <row r="26" spans="1:11" x14ac:dyDescent="0.3">
      <c r="A26" t="s">
        <v>81</v>
      </c>
      <c r="B26">
        <f t="shared" si="0"/>
        <v>25</v>
      </c>
      <c r="C26">
        <v>170</v>
      </c>
      <c r="D26">
        <v>75</v>
      </c>
      <c r="E26" t="s">
        <v>82</v>
      </c>
      <c r="F26" t="s">
        <v>83</v>
      </c>
      <c r="G26" t="s">
        <v>20</v>
      </c>
      <c r="H26">
        <v>82</v>
      </c>
      <c r="I26" t="s">
        <v>26</v>
      </c>
      <c r="J26" t="s">
        <v>15</v>
      </c>
      <c r="K26" t="s">
        <v>84</v>
      </c>
    </row>
    <row r="27" spans="1:11" x14ac:dyDescent="0.3">
      <c r="A27" t="s">
        <v>122</v>
      </c>
      <c r="B27">
        <f t="shared" si="0"/>
        <v>26</v>
      </c>
      <c r="C27">
        <v>170</v>
      </c>
      <c r="D27" t="s">
        <v>18</v>
      </c>
      <c r="E27" t="s">
        <v>11</v>
      </c>
      <c r="F27" t="s">
        <v>12</v>
      </c>
      <c r="G27" t="s">
        <v>13</v>
      </c>
      <c r="H27">
        <v>91</v>
      </c>
      <c r="I27" t="s">
        <v>123</v>
      </c>
      <c r="J27" t="s">
        <v>15</v>
      </c>
      <c r="K27" t="s">
        <v>117</v>
      </c>
    </row>
    <row r="28" spans="1:11" x14ac:dyDescent="0.3">
      <c r="A28" t="s">
        <v>193</v>
      </c>
      <c r="B28">
        <f t="shared" si="0"/>
        <v>27</v>
      </c>
      <c r="C28">
        <v>170</v>
      </c>
      <c r="D28">
        <v>56.2</v>
      </c>
      <c r="E28" t="s">
        <v>45</v>
      </c>
      <c r="F28" t="s">
        <v>20</v>
      </c>
      <c r="G28" t="s">
        <v>13</v>
      </c>
      <c r="H28">
        <v>58</v>
      </c>
      <c r="I28" t="s">
        <v>194</v>
      </c>
      <c r="J28" t="s">
        <v>195</v>
      </c>
      <c r="K28" t="s">
        <v>192</v>
      </c>
    </row>
    <row r="29" spans="1:11" x14ac:dyDescent="0.3">
      <c r="A29" t="s">
        <v>168</v>
      </c>
      <c r="B29">
        <f t="shared" si="0"/>
        <v>28</v>
      </c>
      <c r="C29">
        <v>171</v>
      </c>
      <c r="D29" t="s">
        <v>18</v>
      </c>
      <c r="E29" t="s">
        <v>45</v>
      </c>
      <c r="F29" t="s">
        <v>33</v>
      </c>
      <c r="G29" t="s">
        <v>33</v>
      </c>
      <c r="H29" t="s">
        <v>18</v>
      </c>
      <c r="I29" t="s">
        <v>169</v>
      </c>
      <c r="J29" t="s">
        <v>143</v>
      </c>
      <c r="K29" t="s">
        <v>170</v>
      </c>
    </row>
    <row r="30" spans="1:11" x14ac:dyDescent="0.3">
      <c r="A30" t="s">
        <v>10</v>
      </c>
      <c r="B30">
        <f t="shared" si="0"/>
        <v>29</v>
      </c>
      <c r="C30">
        <v>172</v>
      </c>
      <c r="D30">
        <v>77</v>
      </c>
      <c r="E30" t="s">
        <v>11</v>
      </c>
      <c r="F30" t="s">
        <v>12</v>
      </c>
      <c r="G30" t="s">
        <v>13</v>
      </c>
      <c r="H30">
        <v>19</v>
      </c>
      <c r="I30" t="s">
        <v>14</v>
      </c>
      <c r="J30" t="s">
        <v>15</v>
      </c>
      <c r="K30" t="s">
        <v>16</v>
      </c>
    </row>
    <row r="31" spans="1:11" x14ac:dyDescent="0.3">
      <c r="A31" t="s">
        <v>63</v>
      </c>
      <c r="B31">
        <f t="shared" si="0"/>
        <v>30</v>
      </c>
      <c r="C31">
        <v>173</v>
      </c>
      <c r="D31">
        <v>74</v>
      </c>
      <c r="E31" t="s">
        <v>18</v>
      </c>
      <c r="F31" t="s">
        <v>64</v>
      </c>
      <c r="G31" t="s">
        <v>45</v>
      </c>
      <c r="H31">
        <v>44</v>
      </c>
      <c r="I31" t="s">
        <v>65</v>
      </c>
      <c r="J31" t="s">
        <v>66</v>
      </c>
      <c r="K31" t="s">
        <v>43</v>
      </c>
    </row>
    <row r="32" spans="1:11" x14ac:dyDescent="0.3">
      <c r="A32" t="s">
        <v>67</v>
      </c>
      <c r="B32">
        <f t="shared" si="0"/>
        <v>31</v>
      </c>
      <c r="C32">
        <v>175</v>
      </c>
      <c r="D32">
        <v>1358</v>
      </c>
      <c r="E32" t="s">
        <v>18</v>
      </c>
      <c r="F32" t="s">
        <v>68</v>
      </c>
      <c r="G32" t="s">
        <v>69</v>
      </c>
      <c r="H32">
        <v>600</v>
      </c>
      <c r="I32" t="s">
        <v>70</v>
      </c>
      <c r="J32" t="s">
        <v>71</v>
      </c>
      <c r="K32" t="s">
        <v>72</v>
      </c>
    </row>
    <row r="33" spans="1:11" x14ac:dyDescent="0.3">
      <c r="A33" t="s">
        <v>98</v>
      </c>
      <c r="B33">
        <f t="shared" si="0"/>
        <v>32</v>
      </c>
      <c r="C33">
        <v>175</v>
      </c>
      <c r="D33">
        <v>79</v>
      </c>
      <c r="E33" t="s">
        <v>29</v>
      </c>
      <c r="F33" t="s">
        <v>34</v>
      </c>
      <c r="G33" t="s">
        <v>13</v>
      </c>
      <c r="H33">
        <v>37</v>
      </c>
      <c r="I33" t="s">
        <v>99</v>
      </c>
      <c r="J33" t="s">
        <v>15</v>
      </c>
      <c r="K33" t="s">
        <v>90</v>
      </c>
    </row>
    <row r="34" spans="1:11" x14ac:dyDescent="0.3">
      <c r="A34" t="s">
        <v>141</v>
      </c>
      <c r="B34">
        <f t="shared" si="0"/>
        <v>33</v>
      </c>
      <c r="C34">
        <v>175</v>
      </c>
      <c r="D34">
        <v>80</v>
      </c>
      <c r="E34" t="s">
        <v>29</v>
      </c>
      <c r="F34" t="s">
        <v>25</v>
      </c>
      <c r="G34" t="s">
        <v>20</v>
      </c>
      <c r="H34">
        <v>54</v>
      </c>
      <c r="I34" t="s">
        <v>142</v>
      </c>
      <c r="J34" t="s">
        <v>143</v>
      </c>
      <c r="K34" t="s">
        <v>117</v>
      </c>
    </row>
    <row r="35" spans="1:11" x14ac:dyDescent="0.3">
      <c r="A35" t="s">
        <v>94</v>
      </c>
      <c r="B35">
        <f t="shared" si="0"/>
        <v>34</v>
      </c>
      <c r="C35">
        <v>177</v>
      </c>
      <c r="D35">
        <v>79</v>
      </c>
      <c r="E35" t="s">
        <v>45</v>
      </c>
      <c r="F35" t="s">
        <v>95</v>
      </c>
      <c r="G35" t="s">
        <v>33</v>
      </c>
      <c r="H35">
        <v>31</v>
      </c>
      <c r="I35" t="s">
        <v>96</v>
      </c>
      <c r="J35" t="s">
        <v>15</v>
      </c>
      <c r="K35" t="s">
        <v>97</v>
      </c>
    </row>
    <row r="36" spans="1:11" x14ac:dyDescent="0.3">
      <c r="A36" t="s">
        <v>37</v>
      </c>
      <c r="B36">
        <f t="shared" si="0"/>
        <v>35</v>
      </c>
      <c r="C36">
        <v>178</v>
      </c>
      <c r="D36">
        <v>120</v>
      </c>
      <c r="E36" t="s">
        <v>38</v>
      </c>
      <c r="F36" t="s">
        <v>34</v>
      </c>
      <c r="G36" t="s">
        <v>13</v>
      </c>
      <c r="H36">
        <v>52</v>
      </c>
      <c r="I36" t="s">
        <v>14</v>
      </c>
      <c r="J36" t="s">
        <v>15</v>
      </c>
      <c r="K36" t="s">
        <v>39</v>
      </c>
    </row>
    <row r="37" spans="1:11" x14ac:dyDescent="0.3">
      <c r="A37" t="s">
        <v>148</v>
      </c>
      <c r="B37">
        <f t="shared" si="0"/>
        <v>36</v>
      </c>
      <c r="C37">
        <v>178</v>
      </c>
      <c r="D37">
        <v>55</v>
      </c>
      <c r="E37" t="s">
        <v>29</v>
      </c>
      <c r="F37" t="s">
        <v>13</v>
      </c>
      <c r="G37" t="s">
        <v>74</v>
      </c>
      <c r="H37">
        <v>48</v>
      </c>
      <c r="I37" t="s">
        <v>146</v>
      </c>
      <c r="J37" t="s">
        <v>147</v>
      </c>
      <c r="K37" t="s">
        <v>149</v>
      </c>
    </row>
    <row r="38" spans="1:11" x14ac:dyDescent="0.3">
      <c r="A38" t="s">
        <v>230</v>
      </c>
      <c r="B38">
        <f t="shared" si="0"/>
        <v>37</v>
      </c>
      <c r="C38">
        <v>178</v>
      </c>
      <c r="D38">
        <v>57</v>
      </c>
      <c r="E38" t="s">
        <v>29</v>
      </c>
      <c r="F38" t="s">
        <v>231</v>
      </c>
      <c r="G38" t="s">
        <v>45</v>
      </c>
      <c r="H38" t="s">
        <v>18</v>
      </c>
      <c r="I38" t="s">
        <v>232</v>
      </c>
      <c r="J38" t="s">
        <v>233</v>
      </c>
      <c r="K38" t="s">
        <v>192</v>
      </c>
    </row>
    <row r="39" spans="1:11" x14ac:dyDescent="0.3">
      <c r="A39" t="s">
        <v>242</v>
      </c>
      <c r="B39">
        <f t="shared" si="0"/>
        <v>38</v>
      </c>
      <c r="C39">
        <v>178</v>
      </c>
      <c r="D39">
        <v>48</v>
      </c>
      <c r="E39" t="s">
        <v>29</v>
      </c>
      <c r="F39" t="s">
        <v>83</v>
      </c>
      <c r="G39" t="s">
        <v>30</v>
      </c>
      <c r="H39" t="s">
        <v>18</v>
      </c>
      <c r="I39" t="s">
        <v>243</v>
      </c>
      <c r="J39" t="s">
        <v>18</v>
      </c>
      <c r="K39" t="s">
        <v>192</v>
      </c>
    </row>
    <row r="40" spans="1:11" x14ac:dyDescent="0.3">
      <c r="A40" t="s">
        <v>52</v>
      </c>
      <c r="B40">
        <f t="shared" si="0"/>
        <v>39</v>
      </c>
      <c r="C40">
        <v>180</v>
      </c>
      <c r="D40" t="s">
        <v>18</v>
      </c>
      <c r="E40" t="s">
        <v>53</v>
      </c>
      <c r="F40" t="s">
        <v>12</v>
      </c>
      <c r="G40" t="s">
        <v>13</v>
      </c>
      <c r="H40">
        <v>64</v>
      </c>
      <c r="I40" t="s">
        <v>54</v>
      </c>
      <c r="J40" t="s">
        <v>15</v>
      </c>
      <c r="K40" t="s">
        <v>55</v>
      </c>
    </row>
    <row r="41" spans="1:11" x14ac:dyDescent="0.3">
      <c r="A41" t="s">
        <v>60</v>
      </c>
      <c r="B41">
        <f t="shared" si="0"/>
        <v>40</v>
      </c>
      <c r="C41">
        <v>180</v>
      </c>
      <c r="D41">
        <v>80</v>
      </c>
      <c r="E41" t="s">
        <v>33</v>
      </c>
      <c r="F41" t="s">
        <v>12</v>
      </c>
      <c r="G41" t="s">
        <v>33</v>
      </c>
      <c r="H41">
        <v>29</v>
      </c>
      <c r="I41" t="s">
        <v>61</v>
      </c>
      <c r="J41" t="s">
        <v>15</v>
      </c>
      <c r="K41" t="s">
        <v>62</v>
      </c>
    </row>
    <row r="42" spans="1:11" x14ac:dyDescent="0.3">
      <c r="A42" t="s">
        <v>76</v>
      </c>
      <c r="B42">
        <f t="shared" si="0"/>
        <v>41</v>
      </c>
      <c r="C42">
        <v>180</v>
      </c>
      <c r="D42">
        <v>110</v>
      </c>
      <c r="E42" t="s">
        <v>33</v>
      </c>
      <c r="F42" t="s">
        <v>12</v>
      </c>
      <c r="G42" t="s">
        <v>13</v>
      </c>
      <c r="H42" t="s">
        <v>18</v>
      </c>
      <c r="I42" t="s">
        <v>77</v>
      </c>
      <c r="J42" t="s">
        <v>15</v>
      </c>
      <c r="K42" t="s">
        <v>43</v>
      </c>
    </row>
    <row r="43" spans="1:11" x14ac:dyDescent="0.3">
      <c r="A43" t="s">
        <v>100</v>
      </c>
      <c r="B43">
        <f t="shared" si="0"/>
        <v>42</v>
      </c>
      <c r="C43">
        <v>180</v>
      </c>
      <c r="D43">
        <v>83</v>
      </c>
      <c r="E43" t="s">
        <v>29</v>
      </c>
      <c r="F43" t="s">
        <v>101</v>
      </c>
      <c r="G43" t="s">
        <v>69</v>
      </c>
      <c r="H43">
        <v>41</v>
      </c>
      <c r="I43" t="s">
        <v>102</v>
      </c>
      <c r="J43" t="s">
        <v>103</v>
      </c>
      <c r="K43" t="s">
        <v>104</v>
      </c>
    </row>
    <row r="44" spans="1:11" x14ac:dyDescent="0.3">
      <c r="A44" t="s">
        <v>144</v>
      </c>
      <c r="B44">
        <f t="shared" si="0"/>
        <v>43</v>
      </c>
      <c r="C44">
        <v>180</v>
      </c>
      <c r="D44" t="s">
        <v>18</v>
      </c>
      <c r="E44" t="s">
        <v>29</v>
      </c>
      <c r="F44" t="s">
        <v>83</v>
      </c>
      <c r="G44" t="s">
        <v>145</v>
      </c>
      <c r="H44" t="s">
        <v>18</v>
      </c>
      <c r="I44" t="s">
        <v>146</v>
      </c>
      <c r="J44" t="s">
        <v>147</v>
      </c>
      <c r="K44" t="s">
        <v>108</v>
      </c>
    </row>
    <row r="45" spans="1:11" x14ac:dyDescent="0.3">
      <c r="A45" t="s">
        <v>46</v>
      </c>
      <c r="B45">
        <f t="shared" si="0"/>
        <v>44</v>
      </c>
      <c r="C45">
        <v>182</v>
      </c>
      <c r="D45">
        <v>77</v>
      </c>
      <c r="E45" t="s">
        <v>47</v>
      </c>
      <c r="F45" t="s">
        <v>12</v>
      </c>
      <c r="G45" t="s">
        <v>48</v>
      </c>
      <c r="H45">
        <v>57</v>
      </c>
      <c r="I45" t="s">
        <v>49</v>
      </c>
      <c r="J45" t="s">
        <v>15</v>
      </c>
      <c r="K45" t="s">
        <v>22</v>
      </c>
    </row>
    <row r="46" spans="1:11" x14ac:dyDescent="0.3">
      <c r="A46" t="s">
        <v>44</v>
      </c>
      <c r="B46">
        <f t="shared" si="0"/>
        <v>45</v>
      </c>
      <c r="C46">
        <v>183</v>
      </c>
      <c r="D46">
        <v>84</v>
      </c>
      <c r="E46" t="s">
        <v>45</v>
      </c>
      <c r="F46" t="s">
        <v>34</v>
      </c>
      <c r="G46" t="s">
        <v>33</v>
      </c>
      <c r="H46">
        <v>24</v>
      </c>
      <c r="I46" t="s">
        <v>14</v>
      </c>
      <c r="J46" t="s">
        <v>15</v>
      </c>
      <c r="K46" t="s">
        <v>43</v>
      </c>
    </row>
    <row r="47" spans="1:11" x14ac:dyDescent="0.3">
      <c r="A47" t="s">
        <v>85</v>
      </c>
      <c r="B47">
        <f t="shared" si="0"/>
        <v>46</v>
      </c>
      <c r="C47">
        <v>183</v>
      </c>
      <c r="D47">
        <v>78.2</v>
      </c>
      <c r="E47" t="s">
        <v>45</v>
      </c>
      <c r="F47" t="s">
        <v>12</v>
      </c>
      <c r="G47" t="s">
        <v>33</v>
      </c>
      <c r="H47">
        <v>31.5</v>
      </c>
      <c r="I47" t="s">
        <v>86</v>
      </c>
      <c r="J47" t="s">
        <v>15</v>
      </c>
      <c r="K47" t="s">
        <v>87</v>
      </c>
    </row>
    <row r="48" spans="1:11" x14ac:dyDescent="0.3">
      <c r="A48" t="s">
        <v>129</v>
      </c>
      <c r="B48">
        <f t="shared" si="0"/>
        <v>47</v>
      </c>
      <c r="C48">
        <v>183</v>
      </c>
      <c r="D48" t="s">
        <v>18</v>
      </c>
      <c r="E48" t="s">
        <v>33</v>
      </c>
      <c r="F48" t="s">
        <v>12</v>
      </c>
      <c r="G48" t="s">
        <v>13</v>
      </c>
      <c r="H48" t="s">
        <v>18</v>
      </c>
      <c r="I48" t="s">
        <v>26</v>
      </c>
      <c r="J48" t="s">
        <v>18</v>
      </c>
      <c r="K48" t="s">
        <v>117</v>
      </c>
    </row>
    <row r="49" spans="1:11" x14ac:dyDescent="0.3">
      <c r="A49" t="s">
        <v>139</v>
      </c>
      <c r="B49">
        <f t="shared" si="0"/>
        <v>48</v>
      </c>
      <c r="C49">
        <v>183</v>
      </c>
      <c r="D49" t="s">
        <v>18</v>
      </c>
      <c r="E49" t="s">
        <v>45</v>
      </c>
      <c r="F49" t="s">
        <v>95</v>
      </c>
      <c r="G49" t="s">
        <v>33</v>
      </c>
      <c r="H49">
        <v>62</v>
      </c>
      <c r="I49" t="s">
        <v>26</v>
      </c>
      <c r="J49" t="s">
        <v>18</v>
      </c>
      <c r="K49" t="s">
        <v>117</v>
      </c>
    </row>
    <row r="50" spans="1:11" x14ac:dyDescent="0.3">
      <c r="A50" t="s">
        <v>188</v>
      </c>
      <c r="B50">
        <f t="shared" si="0"/>
        <v>49</v>
      </c>
      <c r="C50">
        <v>183</v>
      </c>
      <c r="D50" t="s">
        <v>18</v>
      </c>
      <c r="E50" t="s">
        <v>33</v>
      </c>
      <c r="F50" t="s">
        <v>12</v>
      </c>
      <c r="G50" t="s">
        <v>13</v>
      </c>
      <c r="H50">
        <v>82</v>
      </c>
      <c r="I50" t="s">
        <v>14</v>
      </c>
      <c r="J50" t="s">
        <v>15</v>
      </c>
      <c r="K50" t="s">
        <v>186</v>
      </c>
    </row>
    <row r="51" spans="1:11" x14ac:dyDescent="0.3">
      <c r="A51" t="s">
        <v>189</v>
      </c>
      <c r="B51">
        <f t="shared" si="0"/>
        <v>50</v>
      </c>
      <c r="C51">
        <v>183</v>
      </c>
      <c r="D51">
        <v>80</v>
      </c>
      <c r="E51" t="s">
        <v>29</v>
      </c>
      <c r="F51" t="s">
        <v>64</v>
      </c>
      <c r="G51" t="s">
        <v>20</v>
      </c>
      <c r="H51" t="s">
        <v>18</v>
      </c>
      <c r="I51" t="s">
        <v>190</v>
      </c>
      <c r="J51" t="s">
        <v>191</v>
      </c>
      <c r="K51" t="s">
        <v>192</v>
      </c>
    </row>
    <row r="52" spans="1:11" x14ac:dyDescent="0.3">
      <c r="A52" t="s">
        <v>202</v>
      </c>
      <c r="B52">
        <f t="shared" si="0"/>
        <v>51</v>
      </c>
      <c r="C52">
        <v>183</v>
      </c>
      <c r="D52">
        <v>79</v>
      </c>
      <c r="E52" t="s">
        <v>45</v>
      </c>
      <c r="F52" t="s">
        <v>201</v>
      </c>
      <c r="G52" t="s">
        <v>33</v>
      </c>
      <c r="H52">
        <v>66</v>
      </c>
      <c r="I52" t="s">
        <v>203</v>
      </c>
      <c r="J52" t="s">
        <v>15</v>
      </c>
      <c r="K52" t="s">
        <v>186</v>
      </c>
    </row>
    <row r="53" spans="1:11" x14ac:dyDescent="0.3">
      <c r="A53" t="s">
        <v>171</v>
      </c>
      <c r="B53">
        <f t="shared" si="0"/>
        <v>52</v>
      </c>
      <c r="C53">
        <v>184</v>
      </c>
      <c r="D53">
        <v>50</v>
      </c>
      <c r="E53" t="s">
        <v>29</v>
      </c>
      <c r="F53" t="s">
        <v>95</v>
      </c>
      <c r="G53" t="s">
        <v>13</v>
      </c>
      <c r="H53" t="s">
        <v>18</v>
      </c>
      <c r="I53" t="s">
        <v>123</v>
      </c>
      <c r="J53" t="s">
        <v>172</v>
      </c>
      <c r="K53" t="s">
        <v>170</v>
      </c>
    </row>
    <row r="54" spans="1:11" x14ac:dyDescent="0.3">
      <c r="A54" t="s">
        <v>185</v>
      </c>
      <c r="B54">
        <f t="shared" si="0"/>
        <v>53</v>
      </c>
      <c r="C54">
        <v>185</v>
      </c>
      <c r="D54">
        <v>85</v>
      </c>
      <c r="E54" t="s">
        <v>45</v>
      </c>
      <c r="F54" t="s">
        <v>95</v>
      </c>
      <c r="G54" t="s">
        <v>33</v>
      </c>
      <c r="H54" t="s">
        <v>18</v>
      </c>
      <c r="I54" t="s">
        <v>26</v>
      </c>
      <c r="J54" t="s">
        <v>15</v>
      </c>
      <c r="K54" t="s">
        <v>186</v>
      </c>
    </row>
    <row r="55" spans="1:11" x14ac:dyDescent="0.3">
      <c r="A55" t="s">
        <v>50</v>
      </c>
      <c r="B55">
        <f t="shared" si="0"/>
        <v>54</v>
      </c>
      <c r="C55">
        <v>188</v>
      </c>
      <c r="D55">
        <v>84</v>
      </c>
      <c r="E55" t="s">
        <v>11</v>
      </c>
      <c r="F55" t="s">
        <v>12</v>
      </c>
      <c r="G55" t="s">
        <v>13</v>
      </c>
      <c r="H55">
        <v>41.9</v>
      </c>
      <c r="I55" t="s">
        <v>14</v>
      </c>
      <c r="J55" t="s">
        <v>15</v>
      </c>
      <c r="K55" t="s">
        <v>51</v>
      </c>
    </row>
    <row r="56" spans="1:11" x14ac:dyDescent="0.3">
      <c r="A56" t="s">
        <v>160</v>
      </c>
      <c r="B56">
        <f t="shared" si="0"/>
        <v>55</v>
      </c>
      <c r="C56">
        <v>188</v>
      </c>
      <c r="D56">
        <v>84</v>
      </c>
      <c r="E56" t="s">
        <v>29</v>
      </c>
      <c r="F56" t="s">
        <v>95</v>
      </c>
      <c r="G56" t="s">
        <v>33</v>
      </c>
      <c r="H56">
        <v>72</v>
      </c>
      <c r="I56" t="s">
        <v>161</v>
      </c>
      <c r="J56" t="s">
        <v>15</v>
      </c>
      <c r="K56" t="s">
        <v>51</v>
      </c>
    </row>
    <row r="57" spans="1:11" x14ac:dyDescent="0.3">
      <c r="A57" t="s">
        <v>173</v>
      </c>
      <c r="B57">
        <f t="shared" si="0"/>
        <v>56</v>
      </c>
      <c r="C57">
        <v>188</v>
      </c>
      <c r="D57" t="s">
        <v>18</v>
      </c>
      <c r="E57" t="s">
        <v>29</v>
      </c>
      <c r="F57" t="s">
        <v>83</v>
      </c>
      <c r="G57" t="s">
        <v>69</v>
      </c>
      <c r="H57" t="s">
        <v>18</v>
      </c>
      <c r="I57" t="s">
        <v>174</v>
      </c>
      <c r="J57" t="s">
        <v>175</v>
      </c>
      <c r="K57" t="s">
        <v>170</v>
      </c>
    </row>
    <row r="58" spans="1:11" x14ac:dyDescent="0.3">
      <c r="A58" t="s">
        <v>179</v>
      </c>
      <c r="B58">
        <f t="shared" si="0"/>
        <v>57</v>
      </c>
      <c r="C58">
        <v>188</v>
      </c>
      <c r="D58">
        <v>80</v>
      </c>
      <c r="E58" t="s">
        <v>29</v>
      </c>
      <c r="F58" t="s">
        <v>69</v>
      </c>
      <c r="G58" t="s">
        <v>45</v>
      </c>
      <c r="H58">
        <v>22</v>
      </c>
      <c r="I58" t="s">
        <v>180</v>
      </c>
      <c r="J58" t="s">
        <v>181</v>
      </c>
      <c r="K58" t="s">
        <v>51</v>
      </c>
    </row>
    <row r="59" spans="1:11" x14ac:dyDescent="0.3">
      <c r="A59" t="s">
        <v>241</v>
      </c>
      <c r="B59">
        <f t="shared" si="0"/>
        <v>58</v>
      </c>
      <c r="C59">
        <v>188</v>
      </c>
      <c r="D59">
        <v>79</v>
      </c>
      <c r="E59" t="s">
        <v>33</v>
      </c>
      <c r="F59" t="s">
        <v>34</v>
      </c>
      <c r="G59" t="s">
        <v>33</v>
      </c>
      <c r="H59" t="s">
        <v>18</v>
      </c>
      <c r="I59" t="s">
        <v>35</v>
      </c>
      <c r="J59" t="s">
        <v>15</v>
      </c>
      <c r="K59" t="s">
        <v>55</v>
      </c>
    </row>
    <row r="60" spans="1:11" x14ac:dyDescent="0.3">
      <c r="A60" t="s">
        <v>91</v>
      </c>
      <c r="B60">
        <f t="shared" si="0"/>
        <v>59</v>
      </c>
      <c r="C60">
        <v>190</v>
      </c>
      <c r="D60">
        <v>113</v>
      </c>
      <c r="E60" t="s">
        <v>29</v>
      </c>
      <c r="F60" t="s">
        <v>64</v>
      </c>
      <c r="G60" t="s">
        <v>25</v>
      </c>
      <c r="H60">
        <v>53</v>
      </c>
      <c r="I60" t="s">
        <v>92</v>
      </c>
      <c r="J60" t="s">
        <v>93</v>
      </c>
      <c r="K60" t="s">
        <v>90</v>
      </c>
    </row>
    <row r="61" spans="1:11" x14ac:dyDescent="0.3">
      <c r="A61" t="s">
        <v>118</v>
      </c>
      <c r="B61">
        <f t="shared" si="0"/>
        <v>60</v>
      </c>
      <c r="C61">
        <v>191</v>
      </c>
      <c r="D61">
        <v>90</v>
      </c>
      <c r="E61" t="s">
        <v>29</v>
      </c>
      <c r="F61" t="s">
        <v>119</v>
      </c>
      <c r="G61" t="s">
        <v>25</v>
      </c>
      <c r="H61" t="s">
        <v>18</v>
      </c>
      <c r="I61" t="s">
        <v>120</v>
      </c>
      <c r="J61" t="s">
        <v>121</v>
      </c>
      <c r="K61" t="s">
        <v>51</v>
      </c>
    </row>
    <row r="62" spans="1:11" x14ac:dyDescent="0.3">
      <c r="A62" t="s">
        <v>200</v>
      </c>
      <c r="B62">
        <f t="shared" si="0"/>
        <v>61</v>
      </c>
      <c r="C62">
        <v>191</v>
      </c>
      <c r="D62" t="s">
        <v>18</v>
      </c>
      <c r="E62" t="s">
        <v>45</v>
      </c>
      <c r="F62" t="s">
        <v>201</v>
      </c>
      <c r="G62" t="s">
        <v>33</v>
      </c>
      <c r="H62">
        <v>67</v>
      </c>
      <c r="I62" t="s">
        <v>35</v>
      </c>
      <c r="J62" t="s">
        <v>15</v>
      </c>
      <c r="K62" t="s">
        <v>192</v>
      </c>
    </row>
    <row r="63" spans="1:11" x14ac:dyDescent="0.3">
      <c r="A63" t="s">
        <v>227</v>
      </c>
      <c r="B63">
        <f t="shared" si="0"/>
        <v>62</v>
      </c>
      <c r="C63">
        <v>191</v>
      </c>
      <c r="D63" t="s">
        <v>18</v>
      </c>
      <c r="E63" t="s">
        <v>29</v>
      </c>
      <c r="F63" t="s">
        <v>82</v>
      </c>
      <c r="G63" t="s">
        <v>19</v>
      </c>
      <c r="H63" t="s">
        <v>18</v>
      </c>
      <c r="I63" t="s">
        <v>228</v>
      </c>
      <c r="J63" t="s">
        <v>229</v>
      </c>
      <c r="K63" t="s">
        <v>186</v>
      </c>
    </row>
    <row r="64" spans="1:11" x14ac:dyDescent="0.3">
      <c r="A64" t="s">
        <v>116</v>
      </c>
      <c r="B64">
        <f t="shared" si="0"/>
        <v>63</v>
      </c>
      <c r="C64">
        <v>193</v>
      </c>
      <c r="D64">
        <v>89</v>
      </c>
      <c r="E64" t="s">
        <v>33</v>
      </c>
      <c r="F64" t="s">
        <v>12</v>
      </c>
      <c r="G64" t="s">
        <v>13</v>
      </c>
      <c r="H64">
        <v>92</v>
      </c>
      <c r="I64" t="s">
        <v>18</v>
      </c>
      <c r="J64" t="s">
        <v>15</v>
      </c>
      <c r="K64" t="s">
        <v>117</v>
      </c>
    </row>
    <row r="65" spans="1:11" x14ac:dyDescent="0.3">
      <c r="A65" t="s">
        <v>198</v>
      </c>
      <c r="B65">
        <f t="shared" si="0"/>
        <v>64</v>
      </c>
      <c r="C65">
        <v>193</v>
      </c>
      <c r="D65">
        <v>80</v>
      </c>
      <c r="E65" t="s">
        <v>30</v>
      </c>
      <c r="F65" t="s">
        <v>12</v>
      </c>
      <c r="G65" t="s">
        <v>33</v>
      </c>
      <c r="H65">
        <v>102</v>
      </c>
      <c r="I65" t="s">
        <v>199</v>
      </c>
      <c r="J65" t="s">
        <v>15</v>
      </c>
      <c r="K65" t="s">
        <v>192</v>
      </c>
    </row>
    <row r="66" spans="1:11" x14ac:dyDescent="0.3">
      <c r="A66" t="s">
        <v>223</v>
      </c>
      <c r="B66">
        <f t="shared" si="0"/>
        <v>65</v>
      </c>
      <c r="C66">
        <v>193</v>
      </c>
      <c r="D66">
        <v>48</v>
      </c>
      <c r="E66" t="s">
        <v>29</v>
      </c>
      <c r="F66" t="s">
        <v>224</v>
      </c>
      <c r="G66" t="s">
        <v>57</v>
      </c>
      <c r="H66" t="s">
        <v>18</v>
      </c>
      <c r="I66" t="s">
        <v>225</v>
      </c>
      <c r="J66" t="s">
        <v>226</v>
      </c>
      <c r="K66" t="s">
        <v>186</v>
      </c>
    </row>
    <row r="67" spans="1:11" x14ac:dyDescent="0.3">
      <c r="A67" t="s">
        <v>124</v>
      </c>
      <c r="B67">
        <f t="shared" si="0"/>
        <v>66</v>
      </c>
      <c r="C67">
        <v>196</v>
      </c>
      <c r="D67">
        <v>66</v>
      </c>
      <c r="E67" t="s">
        <v>29</v>
      </c>
      <c r="F67" t="s">
        <v>69</v>
      </c>
      <c r="G67" t="s">
        <v>69</v>
      </c>
      <c r="H67">
        <v>52</v>
      </c>
      <c r="I67" t="s">
        <v>26</v>
      </c>
      <c r="J67" t="s">
        <v>125</v>
      </c>
      <c r="K67" t="s">
        <v>126</v>
      </c>
    </row>
    <row r="68" spans="1:11" x14ac:dyDescent="0.3">
      <c r="A68" t="s">
        <v>165</v>
      </c>
      <c r="B68">
        <f t="shared" ref="B68:B88" si="1">B67+1</f>
        <v>67</v>
      </c>
      <c r="C68">
        <v>196</v>
      </c>
      <c r="D68">
        <v>87</v>
      </c>
      <c r="E68" t="s">
        <v>29</v>
      </c>
      <c r="F68" t="s">
        <v>64</v>
      </c>
      <c r="G68" t="s">
        <v>45</v>
      </c>
      <c r="H68" t="s">
        <v>18</v>
      </c>
      <c r="I68" t="s">
        <v>166</v>
      </c>
      <c r="J68" t="s">
        <v>167</v>
      </c>
      <c r="K68" t="s">
        <v>51</v>
      </c>
    </row>
    <row r="69" spans="1:11" x14ac:dyDescent="0.3">
      <c r="A69" t="s">
        <v>182</v>
      </c>
      <c r="B69">
        <f t="shared" si="1"/>
        <v>68</v>
      </c>
      <c r="C69">
        <v>196</v>
      </c>
      <c r="D69" t="s">
        <v>18</v>
      </c>
      <c r="E69" t="s">
        <v>29</v>
      </c>
      <c r="F69" t="s">
        <v>13</v>
      </c>
      <c r="G69" t="s">
        <v>13</v>
      </c>
      <c r="H69" t="s">
        <v>18</v>
      </c>
      <c r="I69" t="s">
        <v>183</v>
      </c>
      <c r="J69" t="s">
        <v>184</v>
      </c>
      <c r="K69" t="s">
        <v>126</v>
      </c>
    </row>
    <row r="70" spans="1:11" x14ac:dyDescent="0.3">
      <c r="A70" t="s">
        <v>162</v>
      </c>
      <c r="B70">
        <f t="shared" si="1"/>
        <v>69</v>
      </c>
      <c r="C70">
        <v>198</v>
      </c>
      <c r="D70">
        <v>82</v>
      </c>
      <c r="E70" t="s">
        <v>30</v>
      </c>
      <c r="F70" t="s">
        <v>83</v>
      </c>
      <c r="G70" t="s">
        <v>20</v>
      </c>
      <c r="H70">
        <v>92</v>
      </c>
      <c r="I70" t="s">
        <v>163</v>
      </c>
      <c r="J70" t="s">
        <v>164</v>
      </c>
      <c r="K70" t="s">
        <v>51</v>
      </c>
    </row>
    <row r="71" spans="1:11" x14ac:dyDescent="0.3">
      <c r="A71" t="s">
        <v>209</v>
      </c>
      <c r="B71">
        <f t="shared" si="1"/>
        <v>70</v>
      </c>
      <c r="C71">
        <v>198</v>
      </c>
      <c r="D71">
        <v>102</v>
      </c>
      <c r="E71" t="s">
        <v>29</v>
      </c>
      <c r="F71" t="s">
        <v>33</v>
      </c>
      <c r="G71" t="s">
        <v>20</v>
      </c>
      <c r="H71" t="s">
        <v>18</v>
      </c>
      <c r="I71" t="s">
        <v>210</v>
      </c>
      <c r="J71" t="s">
        <v>211</v>
      </c>
      <c r="K71" t="s">
        <v>186</v>
      </c>
    </row>
    <row r="72" spans="1:11" x14ac:dyDescent="0.3">
      <c r="A72" t="s">
        <v>88</v>
      </c>
      <c r="B72">
        <f t="shared" si="1"/>
        <v>71</v>
      </c>
      <c r="C72">
        <v>200</v>
      </c>
      <c r="D72">
        <v>140</v>
      </c>
      <c r="E72" t="s">
        <v>29</v>
      </c>
      <c r="F72" t="s">
        <v>89</v>
      </c>
      <c r="G72" t="s">
        <v>25</v>
      </c>
      <c r="H72">
        <v>15</v>
      </c>
      <c r="I72" t="s">
        <v>18</v>
      </c>
      <c r="J72" t="s">
        <v>21</v>
      </c>
      <c r="K72" t="s">
        <v>90</v>
      </c>
    </row>
    <row r="73" spans="1:11" x14ac:dyDescent="0.3">
      <c r="A73" t="s">
        <v>28</v>
      </c>
      <c r="B73">
        <f t="shared" si="1"/>
        <v>72</v>
      </c>
      <c r="C73">
        <v>202</v>
      </c>
      <c r="D73">
        <v>136</v>
      </c>
      <c r="E73" t="s">
        <v>29</v>
      </c>
      <c r="F73" t="s">
        <v>30</v>
      </c>
      <c r="G73" t="s">
        <v>20</v>
      </c>
      <c r="H73">
        <v>41.9</v>
      </c>
      <c r="I73" t="s">
        <v>14</v>
      </c>
      <c r="J73" t="s">
        <v>15</v>
      </c>
      <c r="K73" t="s">
        <v>31</v>
      </c>
    </row>
    <row r="74" spans="1:11" x14ac:dyDescent="0.3">
      <c r="A74" t="s">
        <v>128</v>
      </c>
      <c r="B74">
        <f t="shared" si="1"/>
        <v>73</v>
      </c>
      <c r="C74">
        <v>206</v>
      </c>
      <c r="D74" t="s">
        <v>18</v>
      </c>
      <c r="E74" t="s">
        <v>29</v>
      </c>
      <c r="F74" t="s">
        <v>64</v>
      </c>
      <c r="G74" t="s">
        <v>69</v>
      </c>
      <c r="H74" t="s">
        <v>18</v>
      </c>
      <c r="I74" t="s">
        <v>26</v>
      </c>
      <c r="J74" t="s">
        <v>125</v>
      </c>
      <c r="K74" t="s">
        <v>117</v>
      </c>
    </row>
    <row r="75" spans="1:11" x14ac:dyDescent="0.3">
      <c r="A75" t="s">
        <v>244</v>
      </c>
      <c r="B75">
        <f t="shared" si="1"/>
        <v>74</v>
      </c>
      <c r="C75">
        <v>206</v>
      </c>
      <c r="D75">
        <v>80</v>
      </c>
      <c r="E75" t="s">
        <v>29</v>
      </c>
      <c r="F75" t="s">
        <v>82</v>
      </c>
      <c r="G75" t="s">
        <v>45</v>
      </c>
      <c r="H75" t="s">
        <v>18</v>
      </c>
      <c r="I75" t="s">
        <v>245</v>
      </c>
      <c r="J75" t="s">
        <v>246</v>
      </c>
      <c r="K75" t="s">
        <v>239</v>
      </c>
    </row>
    <row r="76" spans="1:11" x14ac:dyDescent="0.3">
      <c r="A76" t="s">
        <v>214</v>
      </c>
      <c r="B76">
        <f t="shared" si="1"/>
        <v>75</v>
      </c>
      <c r="C76">
        <v>213</v>
      </c>
      <c r="D76" t="s">
        <v>18</v>
      </c>
      <c r="E76" t="s">
        <v>29</v>
      </c>
      <c r="F76" t="s">
        <v>82</v>
      </c>
      <c r="G76" t="s">
        <v>45</v>
      </c>
      <c r="H76" t="s">
        <v>18</v>
      </c>
      <c r="I76" t="s">
        <v>86</v>
      </c>
      <c r="J76" t="s">
        <v>213</v>
      </c>
      <c r="K76" t="s">
        <v>186</v>
      </c>
    </row>
    <row r="77" spans="1:11" x14ac:dyDescent="0.3">
      <c r="A77" t="s">
        <v>234</v>
      </c>
      <c r="B77">
        <f t="shared" si="1"/>
        <v>76</v>
      </c>
      <c r="C77">
        <v>216</v>
      </c>
      <c r="D77">
        <v>159</v>
      </c>
      <c r="E77" t="s">
        <v>29</v>
      </c>
      <c r="F77" t="s">
        <v>235</v>
      </c>
      <c r="G77" t="s">
        <v>236</v>
      </c>
      <c r="H77" t="s">
        <v>18</v>
      </c>
      <c r="I77" t="s">
        <v>237</v>
      </c>
      <c r="J77" t="s">
        <v>238</v>
      </c>
      <c r="K77" t="s">
        <v>239</v>
      </c>
    </row>
    <row r="78" spans="1:11" x14ac:dyDescent="0.3">
      <c r="A78" t="s">
        <v>127</v>
      </c>
      <c r="B78">
        <f t="shared" si="1"/>
        <v>77</v>
      </c>
      <c r="C78">
        <v>224</v>
      </c>
      <c r="D78">
        <v>82</v>
      </c>
      <c r="E78" t="s">
        <v>29</v>
      </c>
      <c r="F78" t="s">
        <v>82</v>
      </c>
      <c r="G78" t="s">
        <v>69</v>
      </c>
      <c r="H78" t="s">
        <v>18</v>
      </c>
      <c r="I78" t="s">
        <v>26</v>
      </c>
      <c r="J78" t="s">
        <v>125</v>
      </c>
      <c r="K78" t="s">
        <v>117</v>
      </c>
    </row>
    <row r="79" spans="1:11" x14ac:dyDescent="0.3">
      <c r="A79" t="s">
        <v>56</v>
      </c>
      <c r="B79">
        <f t="shared" si="1"/>
        <v>78</v>
      </c>
      <c r="C79">
        <v>228</v>
      </c>
      <c r="D79">
        <v>112</v>
      </c>
      <c r="E79" t="s">
        <v>33</v>
      </c>
      <c r="F79" t="s">
        <v>57</v>
      </c>
      <c r="G79" t="s">
        <v>13</v>
      </c>
      <c r="H79">
        <v>200</v>
      </c>
      <c r="I79" t="s">
        <v>58</v>
      </c>
      <c r="J79" t="s">
        <v>59</v>
      </c>
      <c r="K79" t="s">
        <v>36</v>
      </c>
    </row>
    <row r="80" spans="1:11" x14ac:dyDescent="0.3">
      <c r="A80" t="s">
        <v>212</v>
      </c>
      <c r="B80">
        <f t="shared" si="1"/>
        <v>79</v>
      </c>
      <c r="C80">
        <v>229</v>
      </c>
      <c r="D80">
        <v>88</v>
      </c>
      <c r="E80" t="s">
        <v>29</v>
      </c>
      <c r="F80" t="s">
        <v>82</v>
      </c>
      <c r="G80" t="s">
        <v>45</v>
      </c>
      <c r="H80" t="s">
        <v>18</v>
      </c>
      <c r="I80" t="s">
        <v>86</v>
      </c>
      <c r="J80" t="s">
        <v>213</v>
      </c>
      <c r="K80" t="s">
        <v>186</v>
      </c>
    </row>
    <row r="81" spans="1:11" x14ac:dyDescent="0.3">
      <c r="A81" t="s">
        <v>240</v>
      </c>
      <c r="B81">
        <f t="shared" si="1"/>
        <v>80</v>
      </c>
      <c r="C81">
        <v>234</v>
      </c>
      <c r="D81">
        <v>136</v>
      </c>
      <c r="E81" t="s">
        <v>33</v>
      </c>
      <c r="F81" t="s">
        <v>33</v>
      </c>
      <c r="G81" t="s">
        <v>13</v>
      </c>
      <c r="H81" t="s">
        <v>18</v>
      </c>
      <c r="I81" t="s">
        <v>58</v>
      </c>
      <c r="J81" t="s">
        <v>59</v>
      </c>
      <c r="K81" t="s">
        <v>239</v>
      </c>
    </row>
    <row r="82" spans="1:11" x14ac:dyDescent="0.3">
      <c r="A82" t="s">
        <v>176</v>
      </c>
      <c r="B82">
        <f t="shared" si="1"/>
        <v>81</v>
      </c>
      <c r="C82">
        <v>264</v>
      </c>
      <c r="D82" t="s">
        <v>18</v>
      </c>
      <c r="E82" t="s">
        <v>29</v>
      </c>
      <c r="F82" t="s">
        <v>30</v>
      </c>
      <c r="G82" t="s">
        <v>20</v>
      </c>
      <c r="H82" t="s">
        <v>18</v>
      </c>
      <c r="I82" t="s">
        <v>177</v>
      </c>
      <c r="J82" t="s">
        <v>178</v>
      </c>
      <c r="K82" t="s">
        <v>117</v>
      </c>
    </row>
    <row r="83" spans="1:11" x14ac:dyDescent="0.3">
      <c r="A83" t="s">
        <v>109</v>
      </c>
      <c r="B83">
        <f t="shared" si="1"/>
        <v>82</v>
      </c>
      <c r="C83" t="s">
        <v>18</v>
      </c>
      <c r="D83" t="s">
        <v>18</v>
      </c>
      <c r="E83" t="s">
        <v>33</v>
      </c>
      <c r="F83" t="s">
        <v>12</v>
      </c>
      <c r="G83" t="s">
        <v>33</v>
      </c>
      <c r="H83" t="s">
        <v>18</v>
      </c>
      <c r="I83" t="s">
        <v>18</v>
      </c>
      <c r="J83" t="s">
        <v>15</v>
      </c>
      <c r="K83" t="s">
        <v>108</v>
      </c>
    </row>
    <row r="84" spans="1:11" x14ac:dyDescent="0.3">
      <c r="A84" t="s">
        <v>247</v>
      </c>
      <c r="B84">
        <f t="shared" si="1"/>
        <v>83</v>
      </c>
      <c r="C84" t="s">
        <v>18</v>
      </c>
      <c r="D84" t="s">
        <v>18</v>
      </c>
      <c r="E84" t="s">
        <v>45</v>
      </c>
      <c r="F84" t="s">
        <v>95</v>
      </c>
      <c r="G84" t="s">
        <v>95</v>
      </c>
      <c r="H84" t="s">
        <v>18</v>
      </c>
      <c r="I84" t="s">
        <v>18</v>
      </c>
      <c r="J84" t="s">
        <v>15</v>
      </c>
      <c r="K84" t="s">
        <v>248</v>
      </c>
    </row>
    <row r="85" spans="1:11" x14ac:dyDescent="0.3">
      <c r="A85" t="s">
        <v>249</v>
      </c>
      <c r="B85">
        <f t="shared" si="1"/>
        <v>84</v>
      </c>
      <c r="C85" t="s">
        <v>18</v>
      </c>
      <c r="D85" t="s">
        <v>18</v>
      </c>
      <c r="E85" t="s">
        <v>33</v>
      </c>
      <c r="F85" t="s">
        <v>34</v>
      </c>
      <c r="G85" t="s">
        <v>74</v>
      </c>
      <c r="H85" t="s">
        <v>18</v>
      </c>
      <c r="I85" t="s">
        <v>18</v>
      </c>
      <c r="J85" t="s">
        <v>15</v>
      </c>
      <c r="K85" t="s">
        <v>248</v>
      </c>
    </row>
    <row r="86" spans="1:11" x14ac:dyDescent="0.3">
      <c r="A86" t="s">
        <v>250</v>
      </c>
      <c r="B86">
        <f t="shared" si="1"/>
        <v>85</v>
      </c>
      <c r="C86" t="s">
        <v>18</v>
      </c>
      <c r="D86" t="s">
        <v>18</v>
      </c>
      <c r="E86" t="s">
        <v>33</v>
      </c>
      <c r="F86" t="s">
        <v>34</v>
      </c>
      <c r="G86" t="s">
        <v>33</v>
      </c>
      <c r="H86" t="s">
        <v>18</v>
      </c>
      <c r="I86" t="s">
        <v>18</v>
      </c>
      <c r="J86" t="s">
        <v>15</v>
      </c>
      <c r="K86" t="s">
        <v>248</v>
      </c>
    </row>
    <row r="87" spans="1:11" x14ac:dyDescent="0.3">
      <c r="A87" t="s">
        <v>251</v>
      </c>
      <c r="B87">
        <f t="shared" si="1"/>
        <v>86</v>
      </c>
      <c r="C87" t="s">
        <v>18</v>
      </c>
      <c r="D87" t="s">
        <v>18</v>
      </c>
      <c r="E87" t="s">
        <v>29</v>
      </c>
      <c r="F87" t="s">
        <v>29</v>
      </c>
      <c r="G87" t="s">
        <v>45</v>
      </c>
      <c r="H87" t="s">
        <v>18</v>
      </c>
      <c r="I87" t="s">
        <v>18</v>
      </c>
      <c r="J87" t="s">
        <v>21</v>
      </c>
      <c r="K87" t="s">
        <v>248</v>
      </c>
    </row>
    <row r="88" spans="1:11" x14ac:dyDescent="0.3">
      <c r="A88" t="s">
        <v>252</v>
      </c>
      <c r="B88">
        <f t="shared" si="1"/>
        <v>87</v>
      </c>
      <c r="C88" t="s">
        <v>18</v>
      </c>
      <c r="D88" t="s">
        <v>18</v>
      </c>
      <c r="E88" t="s">
        <v>57</v>
      </c>
      <c r="F88" t="s">
        <v>57</v>
      </c>
      <c r="G88" t="s">
        <v>57</v>
      </c>
      <c r="H88" t="s">
        <v>18</v>
      </c>
      <c r="I88" t="s">
        <v>18</v>
      </c>
      <c r="J88" t="s">
        <v>18</v>
      </c>
      <c r="K88" t="s">
        <v>248</v>
      </c>
    </row>
  </sheetData>
  <autoFilter ref="A1:K1" xr:uid="{00000000-0001-0000-0000-000000000000}">
    <sortState xmlns:xlrd2="http://schemas.microsoft.com/office/spreadsheetml/2017/richdata2" ref="A2:K88">
      <sortCondition ref="C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6" x14ac:dyDescent="0.3"/>
  <cols>
    <col min="1" max="1" width="10.3984375" bestFit="1" customWidth="1"/>
    <col min="2" max="2" width="23.69921875" bestFit="1" customWidth="1"/>
  </cols>
  <sheetData>
    <row r="1" spans="1:2" x14ac:dyDescent="0.3">
      <c r="A1" s="1" t="s">
        <v>0</v>
      </c>
      <c r="B1" s="2" t="s">
        <v>254</v>
      </c>
    </row>
    <row r="2" spans="1:2" x14ac:dyDescent="0.3">
      <c r="A2" s="1" t="s">
        <v>1</v>
      </c>
      <c r="B2" s="2" t="s">
        <v>255</v>
      </c>
    </row>
    <row r="3" spans="1:2" x14ac:dyDescent="0.3">
      <c r="A3" s="1" t="s">
        <v>2</v>
      </c>
      <c r="B3" s="2" t="s">
        <v>256</v>
      </c>
    </row>
    <row r="4" spans="1:2" x14ac:dyDescent="0.3">
      <c r="A4" s="1" t="s">
        <v>3</v>
      </c>
      <c r="B4" s="2" t="s">
        <v>257</v>
      </c>
    </row>
    <row r="5" spans="1:2" x14ac:dyDescent="0.3">
      <c r="A5" s="1" t="s">
        <v>4</v>
      </c>
      <c r="B5" s="2" t="s">
        <v>258</v>
      </c>
    </row>
    <row r="6" spans="1:2" x14ac:dyDescent="0.3">
      <c r="A6" s="1" t="s">
        <v>5</v>
      </c>
      <c r="B6" s="2" t="s">
        <v>259</v>
      </c>
    </row>
    <row r="7" spans="1:2" x14ac:dyDescent="0.3">
      <c r="A7" s="1" t="s">
        <v>6</v>
      </c>
      <c r="B7" s="2" t="s">
        <v>260</v>
      </c>
    </row>
    <row r="8" spans="1:2" x14ac:dyDescent="0.3">
      <c r="A8" s="1" t="s">
        <v>7</v>
      </c>
      <c r="B8" s="2" t="s">
        <v>261</v>
      </c>
    </row>
    <row r="9" spans="1:2" x14ac:dyDescent="0.3">
      <c r="A9" s="1" t="s">
        <v>8</v>
      </c>
      <c r="B9" s="2" t="s">
        <v>262</v>
      </c>
    </row>
    <row r="10" spans="1:2" x14ac:dyDescent="0.3">
      <c r="A10" s="1" t="s">
        <v>9</v>
      </c>
      <c r="B10" s="2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E79E-6458-41F8-A1E2-A2D206FC51BC}">
  <dimension ref="A1:F106"/>
  <sheetViews>
    <sheetView tabSelected="1" topLeftCell="A83" workbookViewId="0">
      <selection activeCell="D105" sqref="D105"/>
    </sheetView>
  </sheetViews>
  <sheetFormatPr defaultRowHeight="15.6" x14ac:dyDescent="0.3"/>
  <cols>
    <col min="2" max="2" width="13" customWidth="1"/>
    <col min="3" max="3" width="11.8984375" style="3" customWidth="1"/>
    <col min="6" max="6" width="12.3984375" customWidth="1"/>
  </cols>
  <sheetData>
    <row r="1" spans="1:6" x14ac:dyDescent="0.3">
      <c r="A1" t="s">
        <v>265</v>
      </c>
      <c r="B1" t="s">
        <v>0</v>
      </c>
      <c r="C1" s="3" t="s">
        <v>266</v>
      </c>
      <c r="D1" t="s">
        <v>1</v>
      </c>
      <c r="E1" t="s">
        <v>276</v>
      </c>
      <c r="F1" t="s">
        <v>277</v>
      </c>
    </row>
    <row r="2" spans="1:6" x14ac:dyDescent="0.3">
      <c r="B2" t="str" cm="1">
        <f t="array" ref="B2:D82">_xlfn._xlws.FILTER(starwars!A2:C88,starwars!C2:C88&lt;&gt;"NA")</f>
        <v>Yoda</v>
      </c>
      <c r="C2" s="3">
        <v>1</v>
      </c>
      <c r="D2">
        <v>66</v>
      </c>
      <c r="E2" s="3">
        <f>$B$91-D2</f>
        <v>108.35802469135803</v>
      </c>
      <c r="F2" s="3">
        <f>E2^2</f>
        <v>11741.461515012956</v>
      </c>
    </row>
    <row r="3" spans="1:6" x14ac:dyDescent="0.3">
      <c r="B3" t="str">
        <v>Ratts Tyerell</v>
      </c>
      <c r="C3" s="3">
        <v>2</v>
      </c>
      <c r="D3">
        <v>79</v>
      </c>
      <c r="E3" s="3">
        <f t="shared" ref="E3:E66" si="0">$B$91-D3</f>
        <v>95.358024691358025</v>
      </c>
      <c r="F3" s="3">
        <f t="shared" ref="F3:F66" si="1">E3^2</f>
        <v>9093.1528730376467</v>
      </c>
    </row>
    <row r="4" spans="1:6" x14ac:dyDescent="0.3">
      <c r="B4" t="str">
        <v>Wicket Systri Warrick</v>
      </c>
      <c r="C4" s="3">
        <v>3</v>
      </c>
      <c r="D4">
        <v>88</v>
      </c>
      <c r="E4" s="3">
        <f t="shared" si="0"/>
        <v>86.358024691358025</v>
      </c>
      <c r="F4" s="3">
        <f t="shared" si="1"/>
        <v>7457.7084285932024</v>
      </c>
    </row>
    <row r="5" spans="1:6" x14ac:dyDescent="0.3">
      <c r="B5" t="str">
        <v>Dud Bolt</v>
      </c>
      <c r="C5" s="3">
        <v>4</v>
      </c>
      <c r="D5">
        <v>94</v>
      </c>
      <c r="E5" s="3">
        <f t="shared" si="0"/>
        <v>80.358024691358025</v>
      </c>
      <c r="F5" s="3">
        <f t="shared" si="1"/>
        <v>6457.4121322969058</v>
      </c>
    </row>
    <row r="6" spans="1:6" x14ac:dyDescent="0.3">
      <c r="B6" t="str">
        <v>R2-D2</v>
      </c>
      <c r="C6" s="3">
        <v>5</v>
      </c>
      <c r="D6">
        <v>96</v>
      </c>
      <c r="E6" s="3">
        <f t="shared" si="0"/>
        <v>78.358024691358025</v>
      </c>
      <c r="F6" s="3">
        <f t="shared" si="1"/>
        <v>6139.980033531474</v>
      </c>
    </row>
    <row r="7" spans="1:6" x14ac:dyDescent="0.3">
      <c r="B7" t="str">
        <v>R4-P17</v>
      </c>
      <c r="C7" s="3">
        <v>6</v>
      </c>
      <c r="D7">
        <v>96</v>
      </c>
      <c r="E7" s="3">
        <f t="shared" si="0"/>
        <v>78.358024691358025</v>
      </c>
      <c r="F7" s="3">
        <f t="shared" si="1"/>
        <v>6139.980033531474</v>
      </c>
    </row>
    <row r="8" spans="1:6" x14ac:dyDescent="0.3">
      <c r="B8" t="str">
        <v>R5-D4</v>
      </c>
      <c r="C8" s="3">
        <v>7</v>
      </c>
      <c r="D8">
        <v>97</v>
      </c>
      <c r="E8" s="3">
        <f t="shared" si="0"/>
        <v>77.358024691358025</v>
      </c>
      <c r="F8" s="3">
        <f t="shared" si="1"/>
        <v>5984.263984148758</v>
      </c>
    </row>
    <row r="9" spans="1:6" x14ac:dyDescent="0.3">
      <c r="B9" t="str">
        <v>Sebulba</v>
      </c>
      <c r="C9" s="3">
        <v>8</v>
      </c>
      <c r="D9">
        <v>112</v>
      </c>
      <c r="E9" s="3">
        <f t="shared" si="0"/>
        <v>62.358024691358025</v>
      </c>
      <c r="F9" s="3">
        <f t="shared" si="1"/>
        <v>3888.5232434080172</v>
      </c>
    </row>
    <row r="10" spans="1:6" x14ac:dyDescent="0.3">
      <c r="B10" t="str">
        <v>Gasgano</v>
      </c>
      <c r="C10" s="3">
        <v>9</v>
      </c>
      <c r="D10">
        <v>122</v>
      </c>
      <c r="E10" s="3">
        <f t="shared" si="0"/>
        <v>52.358024691358025</v>
      </c>
      <c r="F10" s="3">
        <f t="shared" si="1"/>
        <v>2741.3627495808569</v>
      </c>
    </row>
    <row r="11" spans="1:6" x14ac:dyDescent="0.3">
      <c r="B11" t="str">
        <v>Watto</v>
      </c>
      <c r="C11" s="3">
        <v>10</v>
      </c>
      <c r="D11">
        <v>137</v>
      </c>
      <c r="E11" s="3">
        <f t="shared" si="0"/>
        <v>37.358024691358025</v>
      </c>
      <c r="F11" s="3">
        <f t="shared" si="1"/>
        <v>1395.622008840116</v>
      </c>
    </row>
    <row r="12" spans="1:6" x14ac:dyDescent="0.3">
      <c r="B12" t="str">
        <v>Leia Organa</v>
      </c>
      <c r="C12" s="3">
        <v>11</v>
      </c>
      <c r="D12">
        <v>150</v>
      </c>
      <c r="E12" s="3">
        <f t="shared" si="0"/>
        <v>24.358024691358025</v>
      </c>
      <c r="F12" s="3">
        <f t="shared" si="1"/>
        <v>593.31336686480722</v>
      </c>
    </row>
    <row r="13" spans="1:6" x14ac:dyDescent="0.3">
      <c r="B13" t="str">
        <v>Mon Mothma</v>
      </c>
      <c r="C13" s="3">
        <v>12</v>
      </c>
      <c r="D13">
        <v>150</v>
      </c>
      <c r="E13" s="3">
        <f t="shared" si="0"/>
        <v>24.358024691358025</v>
      </c>
      <c r="F13" s="3">
        <f t="shared" si="1"/>
        <v>593.31336686480722</v>
      </c>
    </row>
    <row r="14" spans="1:6" x14ac:dyDescent="0.3">
      <c r="B14" t="str">
        <v>Cordé</v>
      </c>
      <c r="C14" s="3">
        <v>13</v>
      </c>
      <c r="D14">
        <v>157</v>
      </c>
      <c r="E14" s="3">
        <f t="shared" si="0"/>
        <v>17.358024691358025</v>
      </c>
      <c r="F14" s="3">
        <f t="shared" si="1"/>
        <v>301.30102118579487</v>
      </c>
    </row>
    <row r="15" spans="1:6" x14ac:dyDescent="0.3">
      <c r="B15" t="str">
        <v>Nien Nunb</v>
      </c>
      <c r="C15" s="3">
        <v>14</v>
      </c>
      <c r="D15">
        <v>160</v>
      </c>
      <c r="E15" s="3">
        <f t="shared" si="0"/>
        <v>14.358024691358025</v>
      </c>
      <c r="F15" s="3">
        <f t="shared" si="1"/>
        <v>206.15287303764671</v>
      </c>
    </row>
    <row r="16" spans="1:6" x14ac:dyDescent="0.3">
      <c r="B16" t="str">
        <v>Shmi Skywalker</v>
      </c>
      <c r="C16" s="3">
        <v>15</v>
      </c>
      <c r="D16">
        <v>163</v>
      </c>
      <c r="E16" s="3">
        <f t="shared" si="0"/>
        <v>11.358024691358025</v>
      </c>
      <c r="F16" s="3">
        <f t="shared" si="1"/>
        <v>129.00472488949856</v>
      </c>
    </row>
    <row r="17" spans="2:6" x14ac:dyDescent="0.3">
      <c r="B17" t="str">
        <v>Ben Quadinaros</v>
      </c>
      <c r="C17" s="3">
        <v>16</v>
      </c>
      <c r="D17">
        <v>163</v>
      </c>
      <c r="E17" s="3">
        <f t="shared" si="0"/>
        <v>11.358024691358025</v>
      </c>
      <c r="F17" s="3">
        <f t="shared" si="1"/>
        <v>129.00472488949856</v>
      </c>
    </row>
    <row r="18" spans="2:6" x14ac:dyDescent="0.3">
      <c r="B18" t="str">
        <v>Beru Whitesun lars</v>
      </c>
      <c r="C18" s="3">
        <v>17</v>
      </c>
      <c r="D18">
        <v>165</v>
      </c>
      <c r="E18" s="3">
        <f t="shared" si="0"/>
        <v>9.3580246913580254</v>
      </c>
      <c r="F18" s="3">
        <f t="shared" si="1"/>
        <v>87.57262612406646</v>
      </c>
    </row>
    <row r="19" spans="2:6" x14ac:dyDescent="0.3">
      <c r="B19" t="str">
        <v>Dormé</v>
      </c>
      <c r="C19" s="3">
        <v>18</v>
      </c>
      <c r="D19">
        <v>165</v>
      </c>
      <c r="E19" s="3">
        <f t="shared" si="0"/>
        <v>9.3580246913580254</v>
      </c>
      <c r="F19" s="3">
        <f t="shared" si="1"/>
        <v>87.57262612406646</v>
      </c>
    </row>
    <row r="20" spans="2:6" x14ac:dyDescent="0.3">
      <c r="B20" t="str">
        <v>Padmé Amidala</v>
      </c>
      <c r="C20" s="3">
        <v>19</v>
      </c>
      <c r="D20">
        <v>165</v>
      </c>
      <c r="E20" s="3">
        <f t="shared" si="0"/>
        <v>9.3580246913580254</v>
      </c>
      <c r="F20" s="3">
        <f t="shared" si="1"/>
        <v>87.57262612406646</v>
      </c>
    </row>
    <row r="21" spans="2:6" x14ac:dyDescent="0.3">
      <c r="B21" t="str">
        <v>Barriss Offee</v>
      </c>
      <c r="C21" s="3">
        <v>20</v>
      </c>
      <c r="D21">
        <v>166</v>
      </c>
      <c r="E21" s="3">
        <f t="shared" si="0"/>
        <v>8.3580246913580254</v>
      </c>
      <c r="F21" s="3">
        <f t="shared" si="1"/>
        <v>69.856576741350409</v>
      </c>
    </row>
    <row r="22" spans="2:6" x14ac:dyDescent="0.3">
      <c r="B22" t="str">
        <v>C-3PO</v>
      </c>
      <c r="C22" s="3">
        <v>21</v>
      </c>
      <c r="D22">
        <v>167</v>
      </c>
      <c r="E22" s="3">
        <f t="shared" si="0"/>
        <v>7.3580246913580254</v>
      </c>
      <c r="F22" s="3">
        <f t="shared" si="1"/>
        <v>54.140527358634365</v>
      </c>
    </row>
    <row r="23" spans="2:6" x14ac:dyDescent="0.3">
      <c r="B23" t="str">
        <v>Jocasta Nu</v>
      </c>
      <c r="C23" s="3">
        <v>22</v>
      </c>
      <c r="D23">
        <v>167</v>
      </c>
      <c r="E23" s="3">
        <f t="shared" si="0"/>
        <v>7.3580246913580254</v>
      </c>
      <c r="F23" s="3">
        <f t="shared" si="1"/>
        <v>54.140527358634365</v>
      </c>
    </row>
    <row r="24" spans="2:6" x14ac:dyDescent="0.3">
      <c r="B24" t="str">
        <v>Zam Wesell</v>
      </c>
      <c r="C24" s="3">
        <v>23</v>
      </c>
      <c r="D24">
        <v>168</v>
      </c>
      <c r="E24" s="3">
        <f t="shared" si="0"/>
        <v>6.3580246913580254</v>
      </c>
      <c r="F24" s="3">
        <f t="shared" si="1"/>
        <v>40.424477975918315</v>
      </c>
    </row>
    <row r="25" spans="2:6" x14ac:dyDescent="0.3">
      <c r="B25" t="str">
        <v>Wedge Antilles</v>
      </c>
      <c r="C25" s="3">
        <v>24</v>
      </c>
      <c r="D25">
        <v>170</v>
      </c>
      <c r="E25" s="3">
        <f t="shared" si="0"/>
        <v>4.3580246913580254</v>
      </c>
      <c r="F25" s="3">
        <f t="shared" si="1"/>
        <v>18.992379210486213</v>
      </c>
    </row>
    <row r="26" spans="2:6" x14ac:dyDescent="0.3">
      <c r="B26" t="str">
        <v>Palpatine</v>
      </c>
      <c r="C26" s="3">
        <v>25</v>
      </c>
      <c r="D26">
        <v>170</v>
      </c>
      <c r="E26" s="3">
        <f t="shared" si="0"/>
        <v>4.3580246913580254</v>
      </c>
      <c r="F26" s="3">
        <f t="shared" si="1"/>
        <v>18.992379210486213</v>
      </c>
    </row>
    <row r="27" spans="2:6" x14ac:dyDescent="0.3">
      <c r="B27" t="str">
        <v>Finis Valorum</v>
      </c>
      <c r="C27" s="3">
        <v>26</v>
      </c>
      <c r="D27">
        <v>170</v>
      </c>
      <c r="E27" s="3">
        <f t="shared" si="0"/>
        <v>4.3580246913580254</v>
      </c>
      <c r="F27" s="3">
        <f t="shared" si="1"/>
        <v>18.992379210486213</v>
      </c>
    </row>
    <row r="28" spans="2:6" x14ac:dyDescent="0.3">
      <c r="B28" t="str">
        <v>Luminara Unduli</v>
      </c>
      <c r="C28" s="3">
        <v>27</v>
      </c>
      <c r="D28">
        <v>170</v>
      </c>
      <c r="E28" s="3">
        <f t="shared" si="0"/>
        <v>4.3580246913580254</v>
      </c>
      <c r="F28" s="3">
        <f t="shared" si="1"/>
        <v>18.992379210486213</v>
      </c>
    </row>
    <row r="29" spans="2:6" x14ac:dyDescent="0.3">
      <c r="B29" t="str">
        <v>Eeth Koth</v>
      </c>
      <c r="C29" s="3">
        <v>28</v>
      </c>
      <c r="D29">
        <v>171</v>
      </c>
      <c r="E29" s="3">
        <f t="shared" si="0"/>
        <v>3.3580246913580254</v>
      </c>
      <c r="F29" s="3">
        <f t="shared" si="1"/>
        <v>11.276329827770162</v>
      </c>
    </row>
    <row r="30" spans="2:6" x14ac:dyDescent="0.3">
      <c r="B30" t="str">
        <v>Luke Skywalker</v>
      </c>
      <c r="C30" s="3">
        <v>29</v>
      </c>
      <c r="D30">
        <v>172</v>
      </c>
      <c r="E30" s="3">
        <f t="shared" si="0"/>
        <v>2.3580246913580254</v>
      </c>
      <c r="F30" s="3">
        <f t="shared" si="1"/>
        <v>5.5602804450541106</v>
      </c>
    </row>
    <row r="31" spans="2:6" x14ac:dyDescent="0.3">
      <c r="B31" t="str">
        <v>Greedo</v>
      </c>
      <c r="C31" s="3">
        <v>30</v>
      </c>
      <c r="D31">
        <v>173</v>
      </c>
      <c r="E31" s="3">
        <f t="shared" si="0"/>
        <v>1.3580246913580254</v>
      </c>
      <c r="F31" s="3">
        <f t="shared" si="1"/>
        <v>1.8442310623380602</v>
      </c>
    </row>
    <row r="32" spans="2:6" x14ac:dyDescent="0.3">
      <c r="B32" t="str">
        <v>Jabba Desilijic Tiure</v>
      </c>
      <c r="C32" s="3">
        <v>31</v>
      </c>
      <c r="D32">
        <v>175</v>
      </c>
      <c r="E32" s="3">
        <f t="shared" si="0"/>
        <v>-0.64197530864197461</v>
      </c>
      <c r="F32" s="3">
        <f t="shared" si="1"/>
        <v>0.41213229690595854</v>
      </c>
    </row>
    <row r="33" spans="2:6" x14ac:dyDescent="0.3">
      <c r="B33" t="str">
        <v>Lobot</v>
      </c>
      <c r="C33" s="3">
        <v>32</v>
      </c>
      <c r="D33">
        <v>175</v>
      </c>
      <c r="E33" s="3">
        <f t="shared" si="0"/>
        <v>-0.64197530864197461</v>
      </c>
      <c r="F33" s="3">
        <f t="shared" si="1"/>
        <v>0.41213229690595854</v>
      </c>
    </row>
    <row r="34" spans="2:6" x14ac:dyDescent="0.3">
      <c r="B34" t="str">
        <v>Darth Maul</v>
      </c>
      <c r="C34" s="3">
        <v>33</v>
      </c>
      <c r="D34">
        <v>175</v>
      </c>
      <c r="E34" s="3">
        <f t="shared" si="0"/>
        <v>-0.64197530864197461</v>
      </c>
      <c r="F34" s="3">
        <f t="shared" si="1"/>
        <v>0.41213229690595854</v>
      </c>
    </row>
    <row r="35" spans="2:6" x14ac:dyDescent="0.3">
      <c r="B35" t="str">
        <v>Lando Calrissian</v>
      </c>
      <c r="C35" s="3">
        <v>34</v>
      </c>
      <c r="D35">
        <v>177</v>
      </c>
      <c r="E35" s="3">
        <f t="shared" si="0"/>
        <v>-2.6419753086419746</v>
      </c>
      <c r="F35" s="3">
        <f t="shared" si="1"/>
        <v>6.9800335314738566</v>
      </c>
    </row>
    <row r="36" spans="2:6" x14ac:dyDescent="0.3">
      <c r="B36" t="str">
        <v>Owen Lars</v>
      </c>
      <c r="C36" s="3">
        <v>35</v>
      </c>
      <c r="D36">
        <v>178</v>
      </c>
      <c r="E36" s="3">
        <f t="shared" si="0"/>
        <v>-3.6419753086419746</v>
      </c>
      <c r="F36" s="3">
        <f t="shared" si="1"/>
        <v>13.263984148757807</v>
      </c>
    </row>
    <row r="37" spans="2:6" x14ac:dyDescent="0.3">
      <c r="B37" t="str">
        <v>Ayla Secura</v>
      </c>
      <c r="C37" s="3">
        <v>36</v>
      </c>
      <c r="D37">
        <v>178</v>
      </c>
      <c r="E37" s="3">
        <f t="shared" si="0"/>
        <v>-3.6419753086419746</v>
      </c>
      <c r="F37" s="3">
        <f t="shared" si="1"/>
        <v>13.263984148757807</v>
      </c>
    </row>
    <row r="38" spans="2:6" x14ac:dyDescent="0.3">
      <c r="B38" t="str">
        <v>Shaak Ti</v>
      </c>
      <c r="C38" s="3">
        <v>37</v>
      </c>
      <c r="D38">
        <v>178</v>
      </c>
      <c r="E38" s="3">
        <f t="shared" si="0"/>
        <v>-3.6419753086419746</v>
      </c>
      <c r="F38" s="3">
        <f t="shared" si="1"/>
        <v>13.263984148757807</v>
      </c>
    </row>
    <row r="39" spans="2:6" x14ac:dyDescent="0.3">
      <c r="B39" t="str">
        <v>Sly Moore</v>
      </c>
      <c r="C39" s="3">
        <v>38</v>
      </c>
      <c r="D39">
        <v>178</v>
      </c>
      <c r="E39" s="3">
        <f t="shared" si="0"/>
        <v>-3.6419753086419746</v>
      </c>
      <c r="F39" s="3">
        <f t="shared" si="1"/>
        <v>13.263984148757807</v>
      </c>
    </row>
    <row r="40" spans="2:6" x14ac:dyDescent="0.3">
      <c r="B40" t="str">
        <v>Wilhuff Tarkin</v>
      </c>
      <c r="C40" s="3">
        <v>39</v>
      </c>
      <c r="D40">
        <v>180</v>
      </c>
      <c r="E40" s="3">
        <f t="shared" si="0"/>
        <v>-5.6419753086419746</v>
      </c>
      <c r="F40" s="3">
        <f t="shared" si="1"/>
        <v>31.831885383325705</v>
      </c>
    </row>
    <row r="41" spans="2:6" x14ac:dyDescent="0.3">
      <c r="B41" t="str">
        <v>Han Solo</v>
      </c>
      <c r="C41" s="3">
        <v>40</v>
      </c>
      <c r="D41">
        <v>180</v>
      </c>
      <c r="E41" s="3">
        <f t="shared" si="0"/>
        <v>-5.6419753086419746</v>
      </c>
      <c r="F41" s="3">
        <f t="shared" si="1"/>
        <v>31.831885383325705</v>
      </c>
    </row>
    <row r="42" spans="2:6" x14ac:dyDescent="0.3">
      <c r="B42" t="str">
        <v>Jek Tono Porkins</v>
      </c>
      <c r="C42" s="3">
        <v>41</v>
      </c>
      <c r="D42">
        <v>180</v>
      </c>
      <c r="E42" s="3">
        <f t="shared" si="0"/>
        <v>-5.6419753086419746</v>
      </c>
      <c r="F42" s="3">
        <f t="shared" si="1"/>
        <v>31.831885383325705</v>
      </c>
    </row>
    <row r="43" spans="2:6" x14ac:dyDescent="0.3">
      <c r="B43" t="str">
        <v>Ackbar</v>
      </c>
      <c r="C43" s="3">
        <v>42</v>
      </c>
      <c r="D43">
        <v>180</v>
      </c>
      <c r="E43" s="3">
        <f t="shared" si="0"/>
        <v>-5.6419753086419746</v>
      </c>
      <c r="F43" s="3">
        <f t="shared" si="1"/>
        <v>31.831885383325705</v>
      </c>
    </row>
    <row r="44" spans="2:6" x14ac:dyDescent="0.3">
      <c r="B44" t="str">
        <v>Bib Fortuna</v>
      </c>
      <c r="C44" s="3">
        <v>43</v>
      </c>
      <c r="D44">
        <v>180</v>
      </c>
      <c r="E44" s="3">
        <f t="shared" si="0"/>
        <v>-5.6419753086419746</v>
      </c>
      <c r="F44" s="3">
        <f t="shared" si="1"/>
        <v>31.831885383325705</v>
      </c>
    </row>
    <row r="45" spans="2:6" x14ac:dyDescent="0.3">
      <c r="B45" t="str">
        <v>Obi-Wan Kenobi</v>
      </c>
      <c r="C45" s="3">
        <v>44</v>
      </c>
      <c r="D45">
        <v>182</v>
      </c>
      <c r="E45" s="3">
        <f t="shared" si="0"/>
        <v>-7.6419753086419746</v>
      </c>
      <c r="F45" s="3">
        <f t="shared" si="1"/>
        <v>58.399786617893604</v>
      </c>
    </row>
    <row r="46" spans="2:6" x14ac:dyDescent="0.3">
      <c r="B46" t="str">
        <v>Biggs Darklighter</v>
      </c>
      <c r="C46" s="3">
        <v>45</v>
      </c>
      <c r="D46">
        <v>183</v>
      </c>
      <c r="E46" s="3">
        <f t="shared" si="0"/>
        <v>-8.6419753086419746</v>
      </c>
      <c r="F46" s="3">
        <f t="shared" si="1"/>
        <v>74.683737235177546</v>
      </c>
    </row>
    <row r="47" spans="2:6" x14ac:dyDescent="0.3">
      <c r="B47" t="str">
        <v>Boba Fett</v>
      </c>
      <c r="C47" s="3">
        <v>46</v>
      </c>
      <c r="D47">
        <v>183</v>
      </c>
      <c r="E47" s="3">
        <f t="shared" si="0"/>
        <v>-8.6419753086419746</v>
      </c>
      <c r="F47" s="3">
        <f t="shared" si="1"/>
        <v>74.683737235177546</v>
      </c>
    </row>
    <row r="48" spans="2:6" x14ac:dyDescent="0.3">
      <c r="B48" t="str">
        <v>Ric Olié</v>
      </c>
      <c r="C48" s="3">
        <v>47</v>
      </c>
      <c r="D48">
        <v>183</v>
      </c>
      <c r="E48" s="3">
        <f t="shared" si="0"/>
        <v>-8.6419753086419746</v>
      </c>
      <c r="F48" s="3">
        <f t="shared" si="1"/>
        <v>74.683737235177546</v>
      </c>
    </row>
    <row r="49" spans="2:6" x14ac:dyDescent="0.3">
      <c r="B49" t="str">
        <v>Quarsh Panaka</v>
      </c>
      <c r="C49" s="3">
        <v>48</v>
      </c>
      <c r="D49">
        <v>183</v>
      </c>
      <c r="E49" s="3">
        <f t="shared" si="0"/>
        <v>-8.6419753086419746</v>
      </c>
      <c r="F49" s="3">
        <f t="shared" si="1"/>
        <v>74.683737235177546</v>
      </c>
    </row>
    <row r="50" spans="2:6" x14ac:dyDescent="0.3">
      <c r="B50" t="str">
        <v>Cliegg Lars</v>
      </c>
      <c r="C50" s="3">
        <v>49</v>
      </c>
      <c r="D50">
        <v>183</v>
      </c>
      <c r="E50" s="3">
        <f t="shared" si="0"/>
        <v>-8.6419753086419746</v>
      </c>
      <c r="F50" s="3">
        <f t="shared" si="1"/>
        <v>74.683737235177546</v>
      </c>
    </row>
    <row r="51" spans="2:6" x14ac:dyDescent="0.3">
      <c r="B51" t="str">
        <v>Poggle the Lesser</v>
      </c>
      <c r="C51" s="3">
        <v>50</v>
      </c>
      <c r="D51">
        <v>183</v>
      </c>
      <c r="E51" s="3">
        <f t="shared" si="0"/>
        <v>-8.6419753086419746</v>
      </c>
      <c r="F51" s="3">
        <f t="shared" si="1"/>
        <v>74.683737235177546</v>
      </c>
    </row>
    <row r="52" spans="2:6" x14ac:dyDescent="0.3">
      <c r="B52" t="str">
        <v>Jango Fett</v>
      </c>
      <c r="C52" s="3">
        <v>51</v>
      </c>
      <c r="D52">
        <v>183</v>
      </c>
      <c r="E52" s="3">
        <f t="shared" si="0"/>
        <v>-8.6419753086419746</v>
      </c>
      <c r="F52" s="3">
        <f t="shared" si="1"/>
        <v>74.683737235177546</v>
      </c>
    </row>
    <row r="53" spans="2:6" x14ac:dyDescent="0.3">
      <c r="B53" t="str">
        <v>Adi Gallia</v>
      </c>
      <c r="C53" s="3">
        <v>52</v>
      </c>
      <c r="D53">
        <v>184</v>
      </c>
      <c r="E53" s="3">
        <f t="shared" si="0"/>
        <v>-9.6419753086419746</v>
      </c>
      <c r="F53" s="3">
        <f t="shared" si="1"/>
        <v>92.967687852461495</v>
      </c>
    </row>
    <row r="54" spans="2:6" x14ac:dyDescent="0.3">
      <c r="B54" t="str">
        <v>Gregar Typho</v>
      </c>
      <c r="C54" s="3">
        <v>53</v>
      </c>
      <c r="D54">
        <v>185</v>
      </c>
      <c r="E54" s="3">
        <f t="shared" si="0"/>
        <v>-10.641975308641975</v>
      </c>
      <c r="F54" s="3">
        <f t="shared" si="1"/>
        <v>113.25163846974544</v>
      </c>
    </row>
    <row r="55" spans="2:6" x14ac:dyDescent="0.3">
      <c r="B55" t="str">
        <v>Anakin Skywalker</v>
      </c>
      <c r="C55" s="3">
        <v>54</v>
      </c>
      <c r="D55">
        <v>188</v>
      </c>
      <c r="E55" s="3">
        <f t="shared" si="0"/>
        <v>-13.641975308641975</v>
      </c>
      <c r="F55" s="3">
        <f t="shared" si="1"/>
        <v>186.10349032159729</v>
      </c>
    </row>
    <row r="56" spans="2:6" x14ac:dyDescent="0.3">
      <c r="B56" t="str">
        <v>Mace Windu</v>
      </c>
      <c r="C56" s="3">
        <v>55</v>
      </c>
      <c r="D56">
        <v>188</v>
      </c>
      <c r="E56" s="3">
        <f t="shared" si="0"/>
        <v>-13.641975308641975</v>
      </c>
      <c r="F56" s="3">
        <f t="shared" si="1"/>
        <v>186.10349032159729</v>
      </c>
    </row>
    <row r="57" spans="2:6" x14ac:dyDescent="0.3">
      <c r="B57" t="str">
        <v>Saesee Tiin</v>
      </c>
      <c r="C57" s="3">
        <v>56</v>
      </c>
      <c r="D57">
        <v>188</v>
      </c>
      <c r="E57" s="3">
        <f t="shared" si="0"/>
        <v>-13.641975308641975</v>
      </c>
      <c r="F57" s="3">
        <f t="shared" si="1"/>
        <v>186.10349032159729</v>
      </c>
    </row>
    <row r="58" spans="2:6" x14ac:dyDescent="0.3">
      <c r="B58" t="str">
        <v>Plo Koon</v>
      </c>
      <c r="C58" s="3">
        <v>57</v>
      </c>
      <c r="D58">
        <v>188</v>
      </c>
      <c r="E58" s="3">
        <f t="shared" si="0"/>
        <v>-13.641975308641975</v>
      </c>
      <c r="F58" s="3">
        <f t="shared" si="1"/>
        <v>186.10349032159729</v>
      </c>
    </row>
    <row r="59" spans="2:6" x14ac:dyDescent="0.3">
      <c r="B59" t="str">
        <v>Raymus Antilles</v>
      </c>
      <c r="C59" s="3">
        <v>58</v>
      </c>
      <c r="D59">
        <v>188</v>
      </c>
      <c r="E59" s="3">
        <f t="shared" si="0"/>
        <v>-13.641975308641975</v>
      </c>
      <c r="F59" s="3">
        <f t="shared" si="1"/>
        <v>186.10349032159729</v>
      </c>
    </row>
    <row r="60" spans="2:6" x14ac:dyDescent="0.3">
      <c r="B60" t="str">
        <v>Bossk</v>
      </c>
      <c r="C60" s="3">
        <v>59</v>
      </c>
      <c r="D60">
        <v>190</v>
      </c>
      <c r="E60" s="3">
        <f t="shared" si="0"/>
        <v>-15.641975308641975</v>
      </c>
      <c r="F60" s="3">
        <f t="shared" si="1"/>
        <v>244.67139155616519</v>
      </c>
    </row>
    <row r="61" spans="2:6" x14ac:dyDescent="0.3">
      <c r="B61" t="str">
        <v>Nute Gunray</v>
      </c>
      <c r="C61" s="3">
        <v>60</v>
      </c>
      <c r="D61">
        <v>191</v>
      </c>
      <c r="E61" s="3">
        <f t="shared" si="0"/>
        <v>-16.641975308641975</v>
      </c>
      <c r="F61" s="3">
        <f t="shared" si="1"/>
        <v>276.95534217344914</v>
      </c>
    </row>
    <row r="62" spans="2:6" x14ac:dyDescent="0.3">
      <c r="B62" t="str">
        <v>Bail Prestor Organa</v>
      </c>
      <c r="C62" s="3">
        <v>61</v>
      </c>
      <c r="D62">
        <v>191</v>
      </c>
      <c r="E62" s="3">
        <f t="shared" si="0"/>
        <v>-16.641975308641975</v>
      </c>
      <c r="F62" s="3">
        <f t="shared" si="1"/>
        <v>276.95534217344914</v>
      </c>
    </row>
    <row r="63" spans="2:6" x14ac:dyDescent="0.3">
      <c r="B63" t="str">
        <v>San Hill</v>
      </c>
      <c r="C63" s="3">
        <v>62</v>
      </c>
      <c r="D63">
        <v>191</v>
      </c>
      <c r="E63" s="3">
        <f t="shared" si="0"/>
        <v>-16.641975308641975</v>
      </c>
      <c r="F63" s="3">
        <f t="shared" si="1"/>
        <v>276.95534217344914</v>
      </c>
    </row>
    <row r="64" spans="2:6" x14ac:dyDescent="0.3">
      <c r="B64" t="str">
        <v>Qui-Gon Jinn</v>
      </c>
      <c r="C64" s="3">
        <v>63</v>
      </c>
      <c r="D64">
        <v>193</v>
      </c>
      <c r="E64" s="3">
        <f t="shared" si="0"/>
        <v>-18.641975308641975</v>
      </c>
      <c r="F64" s="3">
        <f t="shared" si="1"/>
        <v>347.52324340801704</v>
      </c>
    </row>
    <row r="65" spans="2:6" x14ac:dyDescent="0.3">
      <c r="B65" t="str">
        <v>Dooku</v>
      </c>
      <c r="C65" s="3">
        <v>64</v>
      </c>
      <c r="D65">
        <v>193</v>
      </c>
      <c r="E65" s="3">
        <f t="shared" si="0"/>
        <v>-18.641975308641975</v>
      </c>
      <c r="F65" s="3">
        <f t="shared" si="1"/>
        <v>347.52324340801704</v>
      </c>
    </row>
    <row r="66" spans="2:6" x14ac:dyDescent="0.3">
      <c r="B66" t="str">
        <v>Wat Tambor</v>
      </c>
      <c r="C66" s="3">
        <v>65</v>
      </c>
      <c r="D66">
        <v>193</v>
      </c>
      <c r="E66" s="3">
        <f t="shared" si="0"/>
        <v>-18.641975308641975</v>
      </c>
      <c r="F66" s="3">
        <f t="shared" si="1"/>
        <v>347.52324340801704</v>
      </c>
    </row>
    <row r="67" spans="2:6" x14ac:dyDescent="0.3">
      <c r="B67" t="str">
        <v>Jar Jar Binks</v>
      </c>
      <c r="C67" s="3">
        <v>66</v>
      </c>
      <c r="D67">
        <v>196</v>
      </c>
      <c r="E67" s="3">
        <f t="shared" ref="E67:E82" si="2">$B$91-D67</f>
        <v>-21.641975308641975</v>
      </c>
      <c r="F67" s="3">
        <f t="shared" ref="F67:F82" si="3">E67^2</f>
        <v>468.37509525986889</v>
      </c>
    </row>
    <row r="68" spans="2:6" x14ac:dyDescent="0.3">
      <c r="B68" t="str">
        <v>Kit Fisto</v>
      </c>
      <c r="C68" s="3">
        <v>67</v>
      </c>
      <c r="D68">
        <v>196</v>
      </c>
      <c r="E68" s="3">
        <f t="shared" si="2"/>
        <v>-21.641975308641975</v>
      </c>
      <c r="F68" s="3">
        <f t="shared" si="3"/>
        <v>468.37509525986889</v>
      </c>
    </row>
    <row r="69" spans="2:6" x14ac:dyDescent="0.3">
      <c r="B69" t="str">
        <v>Mas Amedda</v>
      </c>
      <c r="C69" s="3">
        <v>68</v>
      </c>
      <c r="D69">
        <v>196</v>
      </c>
      <c r="E69" s="3">
        <f t="shared" si="2"/>
        <v>-21.641975308641975</v>
      </c>
      <c r="F69" s="3">
        <f t="shared" si="3"/>
        <v>468.37509525986889</v>
      </c>
    </row>
    <row r="70" spans="2:6" x14ac:dyDescent="0.3">
      <c r="B70" t="str">
        <v>Ki-Adi-Mundi</v>
      </c>
      <c r="C70" s="3">
        <v>69</v>
      </c>
      <c r="D70">
        <v>198</v>
      </c>
      <c r="E70" s="3">
        <f t="shared" si="2"/>
        <v>-23.641975308641975</v>
      </c>
      <c r="F70" s="3">
        <f t="shared" si="3"/>
        <v>558.94299649443678</v>
      </c>
    </row>
    <row r="71" spans="2:6" x14ac:dyDescent="0.3">
      <c r="B71" t="str">
        <v>Dexter Jettster</v>
      </c>
      <c r="C71" s="3">
        <v>70</v>
      </c>
      <c r="D71">
        <v>198</v>
      </c>
      <c r="E71" s="3">
        <f t="shared" si="2"/>
        <v>-23.641975308641975</v>
      </c>
      <c r="F71" s="3">
        <f t="shared" si="3"/>
        <v>558.94299649443678</v>
      </c>
    </row>
    <row r="72" spans="2:6" x14ac:dyDescent="0.3">
      <c r="B72" t="str">
        <v>IG-88</v>
      </c>
      <c r="C72" s="3">
        <v>71</v>
      </c>
      <c r="D72">
        <v>200</v>
      </c>
      <c r="E72" s="3">
        <f t="shared" si="2"/>
        <v>-25.641975308641975</v>
      </c>
      <c r="F72" s="3">
        <f t="shared" si="3"/>
        <v>657.51089772900468</v>
      </c>
    </row>
    <row r="73" spans="2:6" x14ac:dyDescent="0.3">
      <c r="B73" t="str">
        <v>Darth Vader</v>
      </c>
      <c r="C73" s="3">
        <v>72</v>
      </c>
      <c r="D73">
        <v>202</v>
      </c>
      <c r="E73" s="3">
        <f t="shared" si="2"/>
        <v>-27.641975308641975</v>
      </c>
      <c r="F73" s="3">
        <f t="shared" si="3"/>
        <v>764.07879896357258</v>
      </c>
    </row>
    <row r="74" spans="2:6" x14ac:dyDescent="0.3">
      <c r="B74" t="str">
        <v>Rugor Nass</v>
      </c>
      <c r="C74" s="3">
        <v>73</v>
      </c>
      <c r="D74">
        <v>206</v>
      </c>
      <c r="E74" s="3">
        <f t="shared" si="2"/>
        <v>-31.641975308641975</v>
      </c>
      <c r="F74" s="3">
        <f t="shared" si="3"/>
        <v>1001.2146014327084</v>
      </c>
    </row>
    <row r="75" spans="2:6" x14ac:dyDescent="0.3">
      <c r="B75" t="str">
        <v>Tion Medon</v>
      </c>
      <c r="C75" s="3">
        <v>74</v>
      </c>
      <c r="D75">
        <v>206</v>
      </c>
      <c r="E75" s="3">
        <f t="shared" si="2"/>
        <v>-31.641975308641975</v>
      </c>
      <c r="F75" s="3">
        <f t="shared" si="3"/>
        <v>1001.2146014327084</v>
      </c>
    </row>
    <row r="76" spans="2:6" x14ac:dyDescent="0.3">
      <c r="B76" t="str">
        <v>Taun We</v>
      </c>
      <c r="C76" s="3">
        <v>75</v>
      </c>
      <c r="D76">
        <v>213</v>
      </c>
      <c r="E76" s="3">
        <f t="shared" si="2"/>
        <v>-38.641975308641975</v>
      </c>
      <c r="F76" s="3">
        <f t="shared" si="3"/>
        <v>1493.2022557536961</v>
      </c>
    </row>
    <row r="77" spans="2:6" x14ac:dyDescent="0.3">
      <c r="B77" t="str">
        <v>Grievous</v>
      </c>
      <c r="C77" s="3">
        <v>76</v>
      </c>
      <c r="D77">
        <v>216</v>
      </c>
      <c r="E77" s="3">
        <f t="shared" si="2"/>
        <v>-41.641975308641975</v>
      </c>
      <c r="F77" s="3">
        <f t="shared" si="3"/>
        <v>1734.0541076055479</v>
      </c>
    </row>
    <row r="78" spans="2:6" x14ac:dyDescent="0.3">
      <c r="B78" t="str">
        <v>Roos Tarpals</v>
      </c>
      <c r="C78" s="3">
        <v>77</v>
      </c>
      <c r="D78">
        <v>224</v>
      </c>
      <c r="E78" s="3">
        <f t="shared" si="2"/>
        <v>-49.641975308641975</v>
      </c>
      <c r="F78" s="3">
        <f t="shared" si="3"/>
        <v>2464.3257125438195</v>
      </c>
    </row>
    <row r="79" spans="2:6" x14ac:dyDescent="0.3">
      <c r="B79" t="str">
        <v>Chewbacca</v>
      </c>
      <c r="C79" s="3">
        <v>78</v>
      </c>
      <c r="D79">
        <v>228</v>
      </c>
      <c r="E79" s="3">
        <f t="shared" si="2"/>
        <v>-53.641975308641975</v>
      </c>
      <c r="F79" s="3">
        <f t="shared" si="3"/>
        <v>2877.4615150129553</v>
      </c>
    </row>
    <row r="80" spans="2:6" x14ac:dyDescent="0.3">
      <c r="B80" t="str">
        <v>Lama Su</v>
      </c>
      <c r="C80" s="3">
        <v>79</v>
      </c>
      <c r="D80">
        <v>229</v>
      </c>
      <c r="E80" s="3">
        <f t="shared" si="2"/>
        <v>-54.641975308641975</v>
      </c>
      <c r="F80" s="3">
        <f t="shared" si="3"/>
        <v>2985.7454656302393</v>
      </c>
    </row>
    <row r="81" spans="1:6" x14ac:dyDescent="0.3">
      <c r="B81" t="str">
        <v>Tarfful</v>
      </c>
      <c r="C81" s="3">
        <v>80</v>
      </c>
      <c r="D81">
        <v>234</v>
      </c>
      <c r="E81" s="3">
        <f t="shared" si="2"/>
        <v>-59.641975308641975</v>
      </c>
      <c r="F81" s="3">
        <f t="shared" si="3"/>
        <v>3557.1652187166592</v>
      </c>
    </row>
    <row r="82" spans="1:6" x14ac:dyDescent="0.3">
      <c r="B82" t="str">
        <v>Yarael Poof</v>
      </c>
      <c r="C82" s="3">
        <v>81</v>
      </c>
      <c r="D82">
        <v>264</v>
      </c>
      <c r="E82" s="3">
        <f t="shared" si="2"/>
        <v>-89.641975308641975</v>
      </c>
      <c r="F82" s="3">
        <f t="shared" si="3"/>
        <v>8035.6837372351774</v>
      </c>
    </row>
    <row r="84" spans="1:6" x14ac:dyDescent="0.3">
      <c r="A84" t="s">
        <v>264</v>
      </c>
      <c r="B84">
        <f>SUM(D2:D82)/COUNT(D2:D82)</f>
        <v>174.35802469135803</v>
      </c>
    </row>
    <row r="86" spans="1:6" x14ac:dyDescent="0.3">
      <c r="A86" t="s">
        <v>268</v>
      </c>
      <c r="B86">
        <f>COUNT(C2:C82)/2</f>
        <v>40.5</v>
      </c>
      <c r="C86" s="3" t="s">
        <v>269</v>
      </c>
    </row>
    <row r="87" spans="1:6" x14ac:dyDescent="0.3">
      <c r="B87">
        <f>(VLOOKUP(40,C2:D82,2)+VLOOKUP(41, C2:D82,2))/2</f>
        <v>180</v>
      </c>
      <c r="C87" s="3" t="s">
        <v>270</v>
      </c>
    </row>
    <row r="89" spans="1:6" x14ac:dyDescent="0.3">
      <c r="A89" t="s">
        <v>267</v>
      </c>
      <c r="B89">
        <f>_xlfn.MODE.SNGL(D2:D82)</f>
        <v>183</v>
      </c>
      <c r="C89" s="3" t="s">
        <v>272</v>
      </c>
    </row>
    <row r="91" spans="1:6" x14ac:dyDescent="0.3">
      <c r="A91" t="s">
        <v>271</v>
      </c>
      <c r="B91" s="3">
        <f>AVERAGE(D2:D82)</f>
        <v>174.35802469135803</v>
      </c>
      <c r="C91" s="3" t="s">
        <v>274</v>
      </c>
    </row>
    <row r="92" spans="1:6" x14ac:dyDescent="0.3">
      <c r="B92">
        <f>MEDIAN(D2:D82)</f>
        <v>180</v>
      </c>
      <c r="C92" s="3" t="s">
        <v>273</v>
      </c>
    </row>
    <row r="93" spans="1:6" x14ac:dyDescent="0.3">
      <c r="B93">
        <f>_xlfn.MODE.SNGL(D2:D82)</f>
        <v>183</v>
      </c>
      <c r="C93" s="3" t="s">
        <v>272</v>
      </c>
    </row>
    <row r="95" spans="1:6" x14ac:dyDescent="0.3">
      <c r="A95" t="s">
        <v>275</v>
      </c>
      <c r="B95" s="3">
        <f>AVERAGE(F2:F82)</f>
        <v>1194.0570035055634</v>
      </c>
      <c r="C95" s="3" t="s">
        <v>278</v>
      </c>
    </row>
    <row r="96" spans="1:6" x14ac:dyDescent="0.3">
      <c r="B96" s="3">
        <f>_xlfn.VAR.P(D2:D82)</f>
        <v>1194.0570035055632</v>
      </c>
      <c r="C96" s="3" t="s">
        <v>279</v>
      </c>
    </row>
    <row r="97" spans="1:3" x14ac:dyDescent="0.3">
      <c r="B97" s="3">
        <f>_xlfn.STDEV.P(D2:D82)</f>
        <v>34.555129915912097</v>
      </c>
      <c r="C97" s="3" t="s">
        <v>280</v>
      </c>
    </row>
    <row r="99" spans="1:3" x14ac:dyDescent="0.3">
      <c r="A99" t="s">
        <v>281</v>
      </c>
      <c r="B99" cm="1">
        <f t="array" ref="B99">ROUND(COUNT((D2:D82)*0.9),1)</f>
        <v>81</v>
      </c>
      <c r="C99" s="3" t="s">
        <v>282</v>
      </c>
    </row>
    <row r="100" spans="1:3" x14ac:dyDescent="0.3">
      <c r="B100">
        <f>VLOOKUP(B99,C2:D82,2)</f>
        <v>264</v>
      </c>
      <c r="C100" s="3" t="s">
        <v>283</v>
      </c>
    </row>
    <row r="102" spans="1:3" x14ac:dyDescent="0.3">
      <c r="A102" t="s">
        <v>284</v>
      </c>
      <c r="B102">
        <f>_xlfn.PERCENTILE.INC(D2:D82,0.25)</f>
        <v>167</v>
      </c>
    </row>
    <row r="104" spans="1:3" x14ac:dyDescent="0.3">
      <c r="A104" t="s">
        <v>285</v>
      </c>
      <c r="B104">
        <f>_xlfn.PERCENTILE.INC(D2:D82,0.9)</f>
        <v>206</v>
      </c>
    </row>
    <row r="106" spans="1:3" x14ac:dyDescent="0.3">
      <c r="A106" t="s">
        <v>286</v>
      </c>
      <c r="B106">
        <f>_xlfn.QUARTILE.INC(D2:D82,0.25)</f>
        <v>66</v>
      </c>
    </row>
  </sheetData>
  <conditionalFormatting sqref="B2:D8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starwars</vt:lpstr>
      <vt:lpstr>data_dictionary</vt:lpstr>
      <vt:lpstr>Answer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Sorelle Mbakop</cp:lastModifiedBy>
  <cp:revision/>
  <dcterms:created xsi:type="dcterms:W3CDTF">2020-02-17T22:11:26Z</dcterms:created>
  <dcterms:modified xsi:type="dcterms:W3CDTF">2026-01-14T19:52:23Z</dcterms:modified>
  <cp:category/>
  <cp:contentStatus/>
</cp:coreProperties>
</file>